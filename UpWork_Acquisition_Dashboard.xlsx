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Upwork Portfolio Project\"/>
    </mc:Choice>
  </mc:AlternateContent>
  <xr:revisionPtr revIDLastSave="0" documentId="13_ncr:1_{EFA022D8-AA90-4E59-873B-C09535388129}" xr6:coauthVersionLast="47" xr6:coauthVersionMax="47" xr10:uidLastSave="{00000000-0000-0000-0000-000000000000}"/>
  <bookViews>
    <workbookView xWindow="-120" yWindow="-120" windowWidth="20730" windowHeight="11040" xr2:uid="{A058F9AB-9CA7-4BDA-A742-07A0C7CD2ED3}"/>
  </bookViews>
  <sheets>
    <sheet name="Dashboard" sheetId="1" r:id="rId1"/>
    <sheet name="Funnel" sheetId="2" r:id="rId2"/>
    <sheet name="Keyword" sheetId="3" r:id="rId3"/>
    <sheet name="Tools" sheetId="4" r:id="rId4"/>
    <sheet name="Scores" sheetId="5" r:id="rId5"/>
    <sheet name="Sessions" sheetId="6" r:id="rId6"/>
    <sheet name="Proposals" sheetId="7" r:id="rId7"/>
    <sheet name="Complexity" sheetId="10" r:id="rId8"/>
    <sheet name="Costs" sheetId="12" r:id="rId9"/>
  </sheets>
  <definedNames>
    <definedName name="_xlchart.v2.0" hidden="1">Funnel!$A$2:$A$5</definedName>
    <definedName name="_xlchart.v2.1" hidden="1">Funnel!$B$1</definedName>
    <definedName name="_xlchart.v2.2" hidden="1">Funnel!$B$2:$B$5</definedName>
    <definedName name="_xlchart.v2.3" hidden="1">Funnel!$C$1</definedName>
    <definedName name="_xlchart.v2.4" hidden="1">Funnel!$C$2:$C$5</definedName>
    <definedName name="_xlchart.v2.5" hidden="1">Funnel!$A$2:$A$5</definedName>
    <definedName name="_xlchart.v2.6" hidden="1">Funnel!$B$1</definedName>
    <definedName name="_xlchart.v2.7" hidden="1">Funnel!$B$2:$B$5</definedName>
    <definedName name="_xlchart.v2.8" hidden="1">Funnel!$C$1</definedName>
    <definedName name="_xlchart.v2.9" hidden="1">Funnel!$C$2:$C$5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2" i="3" l="1"/>
  <c r="X22" i="3"/>
  <c r="W22" i="3"/>
  <c r="V22" i="3"/>
  <c r="T22" i="3"/>
  <c r="S22" i="3"/>
  <c r="R22" i="3"/>
  <c r="Q22" i="3"/>
  <c r="Q3" i="3"/>
  <c r="Y14" i="3"/>
  <c r="X4" i="3"/>
  <c r="X8" i="3"/>
  <c r="X12" i="3"/>
  <c r="X16" i="3"/>
  <c r="W18" i="3"/>
  <c r="V20" i="3"/>
  <c r="W3" i="3"/>
  <c r="T13" i="3"/>
  <c r="Y13" i="3" s="1"/>
  <c r="T14" i="3"/>
  <c r="X14" i="3" s="1"/>
  <c r="T15" i="3"/>
  <c r="X15" i="3" s="1"/>
  <c r="T16" i="3"/>
  <c r="Y16" i="3" s="1"/>
  <c r="T17" i="3"/>
  <c r="Y17" i="3" s="1"/>
  <c r="T18" i="3"/>
  <c r="X18" i="3" s="1"/>
  <c r="T19" i="3"/>
  <c r="X19" i="3" s="1"/>
  <c r="T20" i="3"/>
  <c r="Y20" i="3" s="1"/>
  <c r="T21" i="3"/>
  <c r="Y21" i="3" s="1"/>
  <c r="S13" i="3"/>
  <c r="S14" i="3"/>
  <c r="W14" i="3" s="1"/>
  <c r="S15" i="3"/>
  <c r="S16" i="3"/>
  <c r="S17" i="3"/>
  <c r="S18" i="3"/>
  <c r="Y18" i="3" s="1"/>
  <c r="S19" i="3"/>
  <c r="S20" i="3"/>
  <c r="S21" i="3"/>
  <c r="R21" i="3"/>
  <c r="R13" i="3"/>
  <c r="R14" i="3"/>
  <c r="R15" i="3"/>
  <c r="R16" i="3"/>
  <c r="V16" i="3" s="1"/>
  <c r="R17" i="3"/>
  <c r="R18" i="3"/>
  <c r="R19" i="3"/>
  <c r="R20" i="3"/>
  <c r="X20" i="3" s="1"/>
  <c r="Q13" i="3"/>
  <c r="Q14" i="3"/>
  <c r="Q15" i="3"/>
  <c r="Q16" i="3"/>
  <c r="Q17" i="3"/>
  <c r="Q18" i="3"/>
  <c r="Q19" i="3"/>
  <c r="Q20" i="3"/>
  <c r="Q21" i="3"/>
  <c r="T4" i="3"/>
  <c r="Y4" i="3" s="1"/>
  <c r="T5" i="3"/>
  <c r="Y5" i="3" s="1"/>
  <c r="T6" i="3"/>
  <c r="X6" i="3" s="1"/>
  <c r="T7" i="3"/>
  <c r="X7" i="3" s="1"/>
  <c r="T8" i="3"/>
  <c r="Y8" i="3" s="1"/>
  <c r="T9" i="3"/>
  <c r="Y9" i="3" s="1"/>
  <c r="T10" i="3"/>
  <c r="X10" i="3" s="1"/>
  <c r="T11" i="3"/>
  <c r="X11" i="3" s="1"/>
  <c r="T12" i="3"/>
  <c r="Y12" i="3" s="1"/>
  <c r="S4" i="3"/>
  <c r="S5" i="3"/>
  <c r="S6" i="3"/>
  <c r="S7" i="3"/>
  <c r="S8" i="3"/>
  <c r="S9" i="3"/>
  <c r="S10" i="3"/>
  <c r="S11" i="3"/>
  <c r="S12" i="3"/>
  <c r="R4" i="3"/>
  <c r="V4" i="3" s="1"/>
  <c r="R5" i="3"/>
  <c r="R6" i="3"/>
  <c r="R7" i="3"/>
  <c r="R8" i="3"/>
  <c r="V8" i="3" s="1"/>
  <c r="R9" i="3"/>
  <c r="R10" i="3"/>
  <c r="R11" i="3"/>
  <c r="R12" i="3"/>
  <c r="V12" i="3" s="1"/>
  <c r="Q4" i="3"/>
  <c r="Q5" i="3"/>
  <c r="Q6" i="3"/>
  <c r="Q7" i="3"/>
  <c r="Q8" i="3"/>
  <c r="Q9" i="3"/>
  <c r="Q10" i="3"/>
  <c r="Q11" i="3"/>
  <c r="Q12" i="3"/>
  <c r="T3" i="3"/>
  <c r="Y3" i="3" s="1"/>
  <c r="S3" i="3"/>
  <c r="R3" i="3"/>
  <c r="E2" i="12"/>
  <c r="E3" i="12"/>
  <c r="N8" i="3"/>
  <c r="N7" i="3"/>
  <c r="N5" i="3"/>
  <c r="N4" i="3"/>
  <c r="E3" i="10"/>
  <c r="E2" i="10"/>
  <c r="M2" i="7"/>
  <c r="K5" i="6"/>
  <c r="K4" i="6"/>
  <c r="K3" i="6"/>
  <c r="K2" i="6"/>
  <c r="V3" i="3" l="1"/>
  <c r="V21" i="3"/>
  <c r="V17" i="3"/>
  <c r="V13" i="3"/>
  <c r="V9" i="3"/>
  <c r="V5" i="3"/>
  <c r="W19" i="3"/>
  <c r="W15" i="3"/>
  <c r="W11" i="3"/>
  <c r="W7" i="3"/>
  <c r="X21" i="3"/>
  <c r="X17" i="3"/>
  <c r="X13" i="3"/>
  <c r="X9" i="3"/>
  <c r="X5" i="3"/>
  <c r="Y19" i="3"/>
  <c r="Y15" i="3"/>
  <c r="Y11" i="3"/>
  <c r="Y7" i="3"/>
  <c r="W10" i="3"/>
  <c r="W6" i="3"/>
  <c r="Y10" i="3"/>
  <c r="Y6" i="3"/>
  <c r="X3" i="3"/>
  <c r="V19" i="3"/>
  <c r="V15" i="3"/>
  <c r="V11" i="3"/>
  <c r="V7" i="3"/>
  <c r="W21" i="3"/>
  <c r="W17" i="3"/>
  <c r="W13" i="3"/>
  <c r="W9" i="3"/>
  <c r="W5" i="3"/>
  <c r="V18" i="3"/>
  <c r="V14" i="3"/>
  <c r="V10" i="3"/>
  <c r="V6" i="3"/>
  <c r="W20" i="3"/>
  <c r="W16" i="3"/>
  <c r="W12" i="3"/>
  <c r="W8" i="3"/>
  <c r="W4" i="3"/>
</calcChain>
</file>

<file path=xl/sharedStrings.xml><?xml version="1.0" encoding="utf-8"?>
<sst xmlns="http://schemas.openxmlformats.org/spreadsheetml/2006/main" count="237" uniqueCount="167">
  <si>
    <t>Stage</t>
  </si>
  <si>
    <t>Job_Count</t>
  </si>
  <si>
    <t>Pct_of_Discovered</t>
  </si>
  <si>
    <t>Discovered</t>
  </si>
  <si>
    <t>Moved to Scoring</t>
  </si>
  <si>
    <t>APPLY Decision</t>
  </si>
  <si>
    <t>Proposal Sent</t>
  </si>
  <si>
    <t>Keyword_Search</t>
  </si>
  <si>
    <t>Total_Scored</t>
  </si>
  <si>
    <t>APPLY_Count</t>
  </si>
  <si>
    <t>SKIP_Count</t>
  </si>
  <si>
    <t>HOLD_Count</t>
  </si>
  <si>
    <t>APPLY_Rate_Pct</t>
  </si>
  <si>
    <t>Avg_Score</t>
  </si>
  <si>
    <t>Google Sheets Revenue Dashboard</t>
  </si>
  <si>
    <t>Excel HR Dashboard</t>
  </si>
  <si>
    <t>Google Sheets Sales Dashboard</t>
  </si>
  <si>
    <t>Looker Studio Marketing Dashboard</t>
  </si>
  <si>
    <t>analytics dashboard</t>
  </si>
  <si>
    <t>Looker Studio Marketing Dashboard Developer</t>
  </si>
  <si>
    <t>power bi dashboard</t>
  </si>
  <si>
    <t>SQL Inventory Reporting Dashboard</t>
  </si>
  <si>
    <t>tableau dashboard</t>
  </si>
  <si>
    <t>Power BI Operations Dashboard</t>
  </si>
  <si>
    <t>Power BI Sales Dashboard</t>
  </si>
  <si>
    <t>Excel Finance Dashboard Creation</t>
  </si>
  <si>
    <t>excel dashboard</t>
  </si>
  <si>
    <t>Dashboard Customer Service KPI</t>
  </si>
  <si>
    <t>business dashboard</t>
  </si>
  <si>
    <t>R Studio Marketing Dashboard</t>
  </si>
  <si>
    <t>looker studio marketing dashboard</t>
  </si>
  <si>
    <t>looker studio dashboard</t>
  </si>
  <si>
    <t>reporting dashboard</t>
  </si>
  <si>
    <t>Google Sheets HR Dashboard</t>
  </si>
  <si>
    <t>Tool_Detected</t>
  </si>
  <si>
    <t>Total_Jobs</t>
  </si>
  <si>
    <t>Market_Share_Pct</t>
  </si>
  <si>
    <t>Moved_to_Scoring</t>
  </si>
  <si>
    <t>Scoring_Rate_Pct</t>
  </si>
  <si>
    <t>Looker Studio</t>
  </si>
  <si>
    <t>Other</t>
  </si>
  <si>
    <t>Excel</t>
  </si>
  <si>
    <t>Power BI</t>
  </si>
  <si>
    <t>Google Sheets</t>
  </si>
  <si>
    <t>Tableau</t>
  </si>
  <si>
    <t>SQL</t>
  </si>
  <si>
    <t>Score_Band</t>
  </si>
  <si>
    <t>Pct_of_Scored</t>
  </si>
  <si>
    <t>1. 0.80+ High</t>
  </si>
  <si>
    <t>2. 0.75-0.79 Good</t>
  </si>
  <si>
    <t>3. 0.70-0.74 Solid</t>
  </si>
  <si>
    <t>4. 0.65-0.69 Marginal</t>
  </si>
  <si>
    <t>5. Below 0.65</t>
  </si>
  <si>
    <t>Session_ID</t>
  </si>
  <si>
    <t>Date</t>
  </si>
  <si>
    <t>Duration</t>
  </si>
  <si>
    <t>Jobs_Logged</t>
  </si>
  <si>
    <t>Jobs_Moved_To_Scoring</t>
  </si>
  <si>
    <t>Jobs_Review_Later</t>
  </si>
  <si>
    <t>Session_Yield</t>
  </si>
  <si>
    <t>Saturation_Flag</t>
  </si>
  <si>
    <t>Proposals_Sent</t>
  </si>
  <si>
    <t>Connects_Spent</t>
  </si>
  <si>
    <t>S008</t>
  </si>
  <si>
    <t>39m 51s</t>
  </si>
  <si>
    <t>Saturating</t>
  </si>
  <si>
    <t>S009</t>
  </si>
  <si>
    <t>39m 23s</t>
  </si>
  <si>
    <t>Healthy</t>
  </si>
  <si>
    <t>S010</t>
  </si>
  <si>
    <t>53m 35s</t>
  </si>
  <si>
    <t>S011</t>
  </si>
  <si>
    <t>46m 40s</t>
  </si>
  <si>
    <t>S012</t>
  </si>
  <si>
    <t>36m 50s</t>
  </si>
  <si>
    <t>S013</t>
  </si>
  <si>
    <t>12h 48m 41s</t>
  </si>
  <si>
    <t>S014</t>
  </si>
  <si>
    <t>1h 29m 38s</t>
  </si>
  <si>
    <t>S015</t>
  </si>
  <si>
    <t>43m 15s</t>
  </si>
  <si>
    <t>S016</t>
  </si>
  <si>
    <t>19h 5m 50s</t>
  </si>
  <si>
    <t>S017</t>
  </si>
  <si>
    <t>41m 54s</t>
  </si>
  <si>
    <t>Template_Used</t>
  </si>
  <si>
    <t>Hook_Version</t>
  </si>
  <si>
    <t>CTA_Version</t>
  </si>
  <si>
    <t>Avg_Connects</t>
  </si>
  <si>
    <t>Replies</t>
  </si>
  <si>
    <t>Interviews</t>
  </si>
  <si>
    <t>Reply_Rate_Pct</t>
  </si>
  <si>
    <t>T1</t>
  </si>
  <si>
    <t>A</t>
  </si>
  <si>
    <t>T2</t>
  </si>
  <si>
    <t>B</t>
  </si>
  <si>
    <t>T3</t>
  </si>
  <si>
    <t>C</t>
  </si>
  <si>
    <t>Tool_Focus</t>
  </si>
  <si>
    <t>Connect_Efficiency</t>
  </si>
  <si>
    <t>Priority_Score</t>
  </si>
  <si>
    <t>Status</t>
  </si>
  <si>
    <t>Test More</t>
  </si>
  <si>
    <t>Drop</t>
  </si>
  <si>
    <t>Avg_Competition</t>
  </si>
  <si>
    <t>Complexity</t>
  </si>
  <si>
    <t>Pct_of_Total</t>
  </si>
  <si>
    <t>Large</t>
  </si>
  <si>
    <t>Normal</t>
  </si>
  <si>
    <t>Complex</t>
  </si>
  <si>
    <t>Simple</t>
  </si>
  <si>
    <t>AVG_SCORE</t>
  </si>
  <si>
    <t>Hires</t>
  </si>
  <si>
    <t>Interview_Rate_Pct</t>
  </si>
  <si>
    <t>Hire_Rate_Pct</t>
  </si>
  <si>
    <t>OVERALL</t>
  </si>
  <si>
    <t>Metric</t>
  </si>
  <si>
    <t>Value</t>
  </si>
  <si>
    <t>Cost_per_Connect</t>
  </si>
  <si>
    <t>Connect_Replenishment</t>
  </si>
  <si>
    <t>Total_Connects_Purchased</t>
  </si>
  <si>
    <t>Connect_Replenishment_Date</t>
  </si>
  <si>
    <t>Connect_Replenishment_Cost</t>
  </si>
  <si>
    <t>Monthly_Connect_Target</t>
  </si>
  <si>
    <t>Projected_Monthly_Connect_Use</t>
  </si>
  <si>
    <t>Projected_Monthly_Replenishment_Connects</t>
  </si>
  <si>
    <t>Projected_Monthly_Replenishment_Cost</t>
  </si>
  <si>
    <t>Daily_Connect_Budget</t>
  </si>
  <si>
    <t>Weekly_Connect_Budget</t>
  </si>
  <si>
    <t>Total_Proposals_Sent</t>
  </si>
  <si>
    <t>Total_Connects_Used</t>
  </si>
  <si>
    <t>Total_Proposal_Cost</t>
  </si>
  <si>
    <t>Current_Connect_Balance</t>
  </si>
  <si>
    <t>Cost_per_Reply</t>
  </si>
  <si>
    <t>Cost_per_Interview</t>
  </si>
  <si>
    <t>Cost_per_Hire</t>
  </si>
  <si>
    <t>Monthly_Revenue</t>
  </si>
  <si>
    <t>Monthly_Cost</t>
  </si>
  <si>
    <t>Monthly_ROI</t>
  </si>
  <si>
    <t>Today</t>
  </si>
  <si>
    <t>Month_Start</t>
  </si>
  <si>
    <t>Days_Elapsed</t>
  </si>
  <si>
    <t>Days_In_Month</t>
  </si>
  <si>
    <t>Days_Remaining</t>
  </si>
  <si>
    <t>MTD_Sessions</t>
  </si>
  <si>
    <t>MTD_Jobs_Logged</t>
  </si>
  <si>
    <t>MTD_Proposals_Sent</t>
  </si>
  <si>
    <t>MTD_Connects_Used</t>
  </si>
  <si>
    <t>MTD_Replies</t>
  </si>
  <si>
    <t>MTD_Interviews</t>
  </si>
  <si>
    <t>MTD_Hires</t>
  </si>
  <si>
    <t>MTD_Revenue</t>
  </si>
  <si>
    <t>Projected_Month_End_Connects</t>
  </si>
  <si>
    <t>Projected_Month_End_Cost</t>
  </si>
  <si>
    <t>On_Track_Flag</t>
  </si>
  <si>
    <t>On Track</t>
  </si>
  <si>
    <t>Monthly_ROI_Dollar</t>
  </si>
  <si>
    <t>Expected_Value_per_Proposal</t>
  </si>
  <si>
    <t>Revenue_per_Connect</t>
  </si>
  <si>
    <t>Net_Value_per_Connect</t>
  </si>
  <si>
    <t>Projected</t>
  </si>
  <si>
    <t>Target</t>
  </si>
  <si>
    <t xml:space="preserve">Keyword </t>
  </si>
  <si>
    <t>Test_More_X</t>
  </si>
  <si>
    <t>Test_More_Y</t>
  </si>
  <si>
    <t>Drop_X</t>
  </si>
  <si>
    <t>Drop_Y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</si>
</sst>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&quot;%&quot;"/>
    <numFmt numFmtId="165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numFmt numFmtId="165" formatCode="0.0000"/>
    </dxf>
    <dxf>
      <numFmt numFmtId="164" formatCode="0.0&quot;%&quot;"/>
    </dxf>
    <dxf>
      <numFmt numFmtId="19" formatCode="m/d/yyyy"/>
    </dxf>
    <dxf>
      <numFmt numFmtId="164" formatCode="0.0&quot;%&quot;"/>
    </dxf>
  </dxfs>
  <tableStyles count="0" defaultTableStyle="TableStyleMedium2" defaultPivotStyle="PivotStyleLight16"/>
  <colors>
    <mruColors>
      <color rgb="FF03A6A5"/>
      <color rgb="FFC78A03"/>
      <color rgb="FF215F9A"/>
      <color rgb="FF000066"/>
      <color rgb="FF74C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normalizeH="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cap="all" spc="100" normalizeH="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TOOL MARKET SHARE</a:t>
            </a:r>
          </a:p>
        </c:rich>
      </c:tx>
      <c:layout>
        <c:manualLayout>
          <c:xMode val="edge"/>
          <c:yMode val="edge"/>
          <c:x val="0.175122655122655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normalizeH="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22113926284965E-2"/>
          <c:y val="0.34362797779387094"/>
          <c:w val="0.50942539947314136"/>
          <c:h val="0.56466742269628101"/>
        </c:manualLayout>
      </c:layout>
      <c:doughnutChart>
        <c:varyColors val="1"/>
        <c:ser>
          <c:idx val="0"/>
          <c:order val="0"/>
          <c:tx>
            <c:strRef>
              <c:f>Tools!$B$1</c:f>
              <c:strCache>
                <c:ptCount val="1"/>
                <c:pt idx="0">
                  <c:v>Total_Jobs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11-4EC3-8072-EFEEC31A276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11-4EC3-8072-EFEEC31A276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11-4EC3-8072-EFEEC31A276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11-4EC3-8072-EFEEC31A276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11-4EC3-8072-EFEEC31A276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11-4EC3-8072-EFEEC31A276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C11-4EC3-8072-EFEEC31A2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Tools!$A$2:$A$8</c:f>
              <c:strCache>
                <c:ptCount val="7"/>
                <c:pt idx="0">
                  <c:v>Looker Studio</c:v>
                </c:pt>
                <c:pt idx="1">
                  <c:v>Other</c:v>
                </c:pt>
                <c:pt idx="2">
                  <c:v>Excel</c:v>
                </c:pt>
                <c:pt idx="3">
                  <c:v>Power BI</c:v>
                </c:pt>
                <c:pt idx="4">
                  <c:v>Google Sheets</c:v>
                </c:pt>
                <c:pt idx="5">
                  <c:v>Tableau</c:v>
                </c:pt>
                <c:pt idx="6">
                  <c:v>SQL</c:v>
                </c:pt>
              </c:strCache>
            </c:strRef>
          </c:cat>
          <c:val>
            <c:numRef>
              <c:f>Tools!$B$2:$B$8</c:f>
              <c:numCache>
                <c:formatCode>General</c:formatCode>
                <c:ptCount val="7"/>
                <c:pt idx="0">
                  <c:v>43</c:v>
                </c:pt>
                <c:pt idx="1">
                  <c:v>41</c:v>
                </c:pt>
                <c:pt idx="2">
                  <c:v>39</c:v>
                </c:pt>
                <c:pt idx="3">
                  <c:v>39</c:v>
                </c:pt>
                <c:pt idx="4">
                  <c:v>32</c:v>
                </c:pt>
                <c:pt idx="5">
                  <c:v>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C11-4EC3-8072-EFEEC31A276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517921811095487"/>
          <c:y val="0.33254845548152634"/>
          <c:w val="0.37018848289298784"/>
          <c:h val="0.633812840702604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/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Score Distribution</a:t>
            </a:r>
          </a:p>
        </c:rich>
      </c:tx>
      <c:layout>
        <c:manualLayout>
          <c:xMode val="edge"/>
          <c:yMode val="edge"/>
          <c:x val="0.14053980800110033"/>
          <c:y val="6.73398977469173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256572171340763E-2"/>
          <c:y val="0.36841861540386711"/>
          <c:w val="0.95117502020516365"/>
          <c:h val="0.5502423888076252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Scores!$A$2</c:f>
              <c:strCache>
                <c:ptCount val="1"/>
                <c:pt idx="0">
                  <c:v>1. 0.80+ High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Scores!$B$2:$E$2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8-4F19-B4BA-DDD356F81A34}"/>
            </c:ext>
          </c:extLst>
        </c:ser>
        <c:ser>
          <c:idx val="1"/>
          <c:order val="1"/>
          <c:tx>
            <c:strRef>
              <c:f>Scores!$A$3</c:f>
              <c:strCache>
                <c:ptCount val="1"/>
                <c:pt idx="0">
                  <c:v>2. 0.75-0.79 Good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Scores!$B$3:$E$3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8-4F19-B4BA-DDD356F81A34}"/>
            </c:ext>
          </c:extLst>
        </c:ser>
        <c:ser>
          <c:idx val="2"/>
          <c:order val="2"/>
          <c:tx>
            <c:strRef>
              <c:f>Scores!$A$4</c:f>
              <c:strCache>
                <c:ptCount val="1"/>
                <c:pt idx="0">
                  <c:v>3. 0.70-0.74 Solid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Scores!$B$4:$E$4</c:f>
              <c:numCache>
                <c:formatCode>General</c:formatCode>
                <c:ptCount val="4"/>
                <c:pt idx="0">
                  <c:v>27</c:v>
                </c:pt>
                <c:pt idx="1">
                  <c:v>27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A8-4F19-B4BA-DDD356F81A34}"/>
            </c:ext>
          </c:extLst>
        </c:ser>
        <c:ser>
          <c:idx val="3"/>
          <c:order val="3"/>
          <c:tx>
            <c:strRef>
              <c:f>Scores!$A$5</c:f>
              <c:strCache>
                <c:ptCount val="1"/>
                <c:pt idx="0">
                  <c:v>4. 0.65-0.69 Marginal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Scores!$B$5:$E$5</c:f>
              <c:numCache>
                <c:formatCode>General</c:formatCode>
                <c:ptCount val="4"/>
                <c:pt idx="0">
                  <c:v>33</c:v>
                </c:pt>
                <c:pt idx="1">
                  <c:v>33</c:v>
                </c:pt>
                <c:pt idx="2">
                  <c:v>24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A8-4F19-B4BA-DDD356F81A34}"/>
            </c:ext>
          </c:extLst>
        </c:ser>
        <c:ser>
          <c:idx val="4"/>
          <c:order val="4"/>
          <c:tx>
            <c:strRef>
              <c:f>Scores!$A$6</c:f>
              <c:strCache>
                <c:ptCount val="1"/>
                <c:pt idx="0">
                  <c:v>5. Below 0.65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Scores!$B$6:$E$6</c:f>
              <c:numCache>
                <c:formatCode>General</c:formatCode>
                <c:ptCount val="4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A8-4F19-B4BA-DDD356F81A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87609472"/>
        <c:axId val="1487632032"/>
        <c:axId val="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Scores!$A$7</c15:sqref>
                        </c15:formulaRef>
                      </c:ext>
                    </c:extLst>
                    <c:strCache>
                      <c:ptCount val="1"/>
                      <c:pt idx="0">
                        <c:v>AVG_SCORE</c:v>
                      </c:pt>
                    </c:strCache>
                  </c:strRef>
                </c:tx>
                <c:spPr>
                  <a:solidFill>
                    <a:schemeClr val="accent6">
                      <a:alpha val="88000"/>
                    </a:schemeClr>
                  </a:solidFill>
                  <a:ln>
                    <a:solidFill>
                      <a:schemeClr val="accent6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6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rgbClr val="4EA72E">
                        <a:alpha val="30000"/>
                      </a:srgbClr>
                    </a:solidFill>
                    <a:ln>
                      <a:solidFill>
                        <a:sysClr val="window" lastClr="FFFFFF">
                          <a:alpha val="50000"/>
                        </a:sys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Scores!$B$1:$E$1</c15:sqref>
                        </c15:formulaRef>
                      </c:ext>
                    </c:extLst>
                    <c:strCache>
                      <c:ptCount val="4"/>
                      <c:pt idx="0">
                        <c:v>Job_Count</c:v>
                      </c:pt>
                      <c:pt idx="1">
                        <c:v>Pct_of_Scored</c:v>
                      </c:pt>
                      <c:pt idx="2">
                        <c:v>APPLY_Count</c:v>
                      </c:pt>
                      <c:pt idx="3">
                        <c:v>SKIP_Count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Scores!$B$7:$E$7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2">
                        <c:v>0.71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6A8-4F19-B4BA-DDD356F81A34}"/>
                  </c:ext>
                </c:extLst>
              </c15:ser>
            </c15:filteredBarSeries>
          </c:ext>
        </c:extLst>
      </c:bar3DChart>
      <c:catAx>
        <c:axId val="148760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487632032"/>
        <c:crosses val="autoZero"/>
        <c:auto val="1"/>
        <c:lblAlgn val="ctr"/>
        <c:lblOffset val="100"/>
        <c:noMultiLvlLbl val="0"/>
      </c:catAx>
      <c:valAx>
        <c:axId val="1487632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760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4063169224844604E-2"/>
          <c:y val="0.19221110767832034"/>
          <c:w val="0.87781967706994701"/>
          <c:h val="0.15058468674423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bg1"/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Session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Sessions!$D$1</c:f>
              <c:strCache>
                <c:ptCount val="1"/>
                <c:pt idx="0">
                  <c:v>Jobs_Logged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Sessions!$D$2:$D$11</c:f>
              <c:numCache>
                <c:formatCode>General</c:formatCode>
                <c:ptCount val="10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9-45CB-92EF-88BDB66E3A1C}"/>
            </c:ext>
          </c:extLst>
        </c:ser>
        <c:ser>
          <c:idx val="1"/>
          <c:order val="1"/>
          <c:tx>
            <c:strRef>
              <c:f>Sessions!$E$1</c:f>
              <c:strCache>
                <c:ptCount val="1"/>
                <c:pt idx="0">
                  <c:v>Jobs_Moved_To_Scoring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Sessions!$E$2:$E$11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9-45CB-92EF-88BDB66E3A1C}"/>
            </c:ext>
          </c:extLst>
        </c:ser>
        <c:ser>
          <c:idx val="2"/>
          <c:order val="2"/>
          <c:tx>
            <c:strRef>
              <c:f>Sessions!$F$1</c:f>
              <c:strCache>
                <c:ptCount val="1"/>
                <c:pt idx="0">
                  <c:v>Jobs_Review_Later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Sessions!$F$2:$F$11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69-45CB-92EF-88BDB66E3A1C}"/>
            </c:ext>
          </c:extLst>
        </c:ser>
        <c:ser>
          <c:idx val="5"/>
          <c:order val="5"/>
          <c:tx>
            <c:strRef>
              <c:f>Sessions!$I$1</c:f>
              <c:strCache>
                <c:ptCount val="1"/>
                <c:pt idx="0">
                  <c:v>Proposals_Sent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69-45CB-92EF-88BDB66E3A1C}"/>
            </c:ext>
          </c:extLst>
        </c:ser>
        <c:ser>
          <c:idx val="6"/>
          <c:order val="6"/>
          <c:tx>
            <c:strRef>
              <c:f>Sessions!$J$1</c:f>
              <c:strCache>
                <c:ptCount val="1"/>
                <c:pt idx="0">
                  <c:v>Connects_Spent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21</c:v>
                </c:pt>
                <c:pt idx="8">
                  <c:v>20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69-45CB-92EF-88BDB66E3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042272"/>
        <c:axId val="167803507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Sessions!$G$1</c15:sqref>
                        </c15:formulaRef>
                      </c:ext>
                    </c:extLst>
                    <c:strCache>
                      <c:ptCount val="1"/>
                      <c:pt idx="0">
                        <c:v>Session_Yield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Sessions!$B$2:$B$11</c15:sqref>
                        </c15:formulaRef>
                      </c:ext>
                    </c:extLst>
                    <c:numCache>
                      <c:formatCode>m/d/yyyy</c:formatCode>
                      <c:ptCount val="10"/>
                      <c:pt idx="0">
                        <c:v>46112</c:v>
                      </c:pt>
                      <c:pt idx="1">
                        <c:v>46113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46118</c:v>
                      </c:pt>
                      <c:pt idx="5">
                        <c:v>46119</c:v>
                      </c:pt>
                      <c:pt idx="6">
                        <c:v>46120</c:v>
                      </c:pt>
                      <c:pt idx="7">
                        <c:v>46120</c:v>
                      </c:pt>
                      <c:pt idx="8">
                        <c:v>46124</c:v>
                      </c:pt>
                      <c:pt idx="9">
                        <c:v>46125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Sessions!$G$2:$G$11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169-45CB-92EF-88BDB66E3A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Sessions!$H$1</c15:sqref>
                        </c15:formulaRef>
                      </c:ext>
                    </c:extLst>
                    <c:strCache>
                      <c:ptCount val="1"/>
                      <c:pt idx="0">
                        <c:v>Saturation_Flag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Sessions!$B$2:$B$11</c15:sqref>
                        </c15:formulaRef>
                      </c:ext>
                    </c:extLst>
                    <c:numCache>
                      <c:formatCode>m/d/yyyy</c:formatCode>
                      <c:ptCount val="10"/>
                      <c:pt idx="0">
                        <c:v>46112</c:v>
                      </c:pt>
                      <c:pt idx="1">
                        <c:v>46113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46118</c:v>
                      </c:pt>
                      <c:pt idx="5">
                        <c:v>46119</c:v>
                      </c:pt>
                      <c:pt idx="6">
                        <c:v>46120</c:v>
                      </c:pt>
                      <c:pt idx="7">
                        <c:v>46120</c:v>
                      </c:pt>
                      <c:pt idx="8">
                        <c:v>46124</c:v>
                      </c:pt>
                      <c:pt idx="9">
                        <c:v>46125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Sessions!$H$2:$H$11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69-45CB-92EF-88BDB66E3A1C}"/>
                  </c:ext>
                </c:extLst>
              </c15:ser>
            </c15:filteredLineSeries>
          </c:ext>
        </c:extLst>
      </c:lineChart>
      <c:dateAx>
        <c:axId val="16780422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678035072"/>
        <c:crosses val="autoZero"/>
        <c:auto val="1"/>
        <c:lblOffset val="100"/>
        <c:baseTimeUnit val="days"/>
      </c:dateAx>
      <c:valAx>
        <c:axId val="16780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6780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bg1"/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Proposal Template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Proposals!$D$1</c:f>
              <c:strCache>
                <c:ptCount val="1"/>
                <c:pt idx="0">
                  <c:v>Proposals_Sent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Proposals!$A$2:$C$5</c15:sqref>
                  </c15:fullRef>
                </c:ext>
              </c:extLst>
              <c:f>Proposals!$A$3:$C$5</c:f>
              <c:multiLvlStrCache>
                <c:ptCount val="3"/>
                <c:lvl>
                  <c:pt idx="0">
                    <c:v>A</c:v>
                  </c:pt>
                  <c:pt idx="1">
                    <c:v>A</c:v>
                  </c:pt>
                  <c:pt idx="2">
                    <c:v>B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:lvl>
                <c:lvl>
                  <c:pt idx="0">
                    <c:v>T1</c:v>
                  </c:pt>
                  <c:pt idx="1">
                    <c:v>T2</c:v>
                  </c:pt>
                  <c:pt idx="2">
                    <c:v>T3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Proposals!$D$2:$D$5</c15:sqref>
                  </c15:fullRef>
                </c:ext>
              </c:extLst>
              <c:f>Proposals!$D$3:$D$5</c:f>
              <c:numCache>
                <c:formatCode>General</c:formatCode>
                <c:ptCount val="3"/>
                <c:pt idx="0">
                  <c:v>12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4-4BE9-9162-6C697149DBD3}"/>
            </c:ext>
          </c:extLst>
        </c:ser>
        <c:ser>
          <c:idx val="5"/>
          <c:order val="5"/>
          <c:tx>
            <c:strRef>
              <c:f>Proposals!$I$1</c:f>
              <c:strCache>
                <c:ptCount val="1"/>
                <c:pt idx="0">
                  <c:v>Reply_Rate_Pct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Proposals!$A$2:$C$5</c15:sqref>
                  </c15:fullRef>
                </c:ext>
              </c:extLst>
              <c:f>Proposals!$A$3:$C$5</c:f>
              <c:multiLvlStrCache>
                <c:ptCount val="3"/>
                <c:lvl>
                  <c:pt idx="0">
                    <c:v>A</c:v>
                  </c:pt>
                  <c:pt idx="1">
                    <c:v>A</c:v>
                  </c:pt>
                  <c:pt idx="2">
                    <c:v>B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:lvl>
                <c:lvl>
                  <c:pt idx="0">
                    <c:v>T1</c:v>
                  </c:pt>
                  <c:pt idx="1">
                    <c:v>T2</c:v>
                  </c:pt>
                  <c:pt idx="2">
                    <c:v>T3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Proposals!$I$2:$I$5</c15:sqref>
                  </c15:fullRef>
                </c:ext>
              </c:extLst>
              <c:f>Proposals!$I$3:$I$5</c:f>
              <c:numCache>
                <c:formatCode>General</c:formatCode>
                <c:ptCount val="3"/>
                <c:pt idx="0">
                  <c:v>8.3000000000000007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4-4BE9-9162-6C697149DBD3}"/>
            </c:ext>
          </c:extLst>
        </c:ser>
        <c:ser>
          <c:idx val="6"/>
          <c:order val="6"/>
          <c:tx>
            <c:strRef>
              <c:f>Proposals!$J$1</c:f>
              <c:strCache>
                <c:ptCount val="1"/>
                <c:pt idx="0">
                  <c:v>Interview_Rate_Pct</c:v>
                </c:pt>
              </c:strCache>
            </c:strRef>
          </c:tx>
          <c:spPr>
            <a:solidFill>
              <a:schemeClr val="accent1">
                <a:lumMod val="60000"/>
                <a:alpha val="88000"/>
              </a:schemeClr>
            </a:solidFill>
            <a:ln>
              <a:solidFill>
                <a:schemeClr val="accent1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Proposals!$A$2:$C$5</c15:sqref>
                  </c15:fullRef>
                </c:ext>
              </c:extLst>
              <c:f>Proposals!$A$3:$C$5</c:f>
              <c:multiLvlStrCache>
                <c:ptCount val="3"/>
                <c:lvl>
                  <c:pt idx="0">
                    <c:v>A</c:v>
                  </c:pt>
                  <c:pt idx="1">
                    <c:v>A</c:v>
                  </c:pt>
                  <c:pt idx="2">
                    <c:v>B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:lvl>
                <c:lvl>
                  <c:pt idx="0">
                    <c:v>T1</c:v>
                  </c:pt>
                  <c:pt idx="1">
                    <c:v>T2</c:v>
                  </c:pt>
                  <c:pt idx="2">
                    <c:v>T3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Proposals!$J$2:$J$5</c15:sqref>
                  </c15:fullRef>
                </c:ext>
              </c:extLst>
              <c:f>Proposals!$J$3:$J$5</c:f>
              <c:numCache>
                <c:formatCode>General</c:formatCode>
                <c:ptCount val="3"/>
                <c:pt idx="0">
                  <c:v>8.3000000000000007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64-4BE9-9162-6C697149DBD3}"/>
            </c:ext>
          </c:extLst>
        </c:ser>
        <c:ser>
          <c:idx val="7"/>
          <c:order val="7"/>
          <c:tx>
            <c:strRef>
              <c:f>Proposals!$K$1</c:f>
              <c:strCache>
                <c:ptCount val="1"/>
                <c:pt idx="0">
                  <c:v>Hire_Rate_Pct</c:v>
                </c:pt>
              </c:strCache>
            </c:strRef>
          </c:tx>
          <c:spPr>
            <a:solidFill>
              <a:schemeClr val="accent2">
                <a:lumMod val="60000"/>
                <a:alpha val="88000"/>
              </a:schemeClr>
            </a:solidFill>
            <a:ln>
              <a:solidFill>
                <a:schemeClr val="accent2">
                  <a:lumMod val="6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6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lumMod val="60000"/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Proposals!$A$2:$C$5</c15:sqref>
                  </c15:fullRef>
                </c:ext>
              </c:extLst>
              <c:f>Proposals!$A$3:$C$5</c:f>
              <c:multiLvlStrCache>
                <c:ptCount val="3"/>
                <c:lvl>
                  <c:pt idx="0">
                    <c:v>A</c:v>
                  </c:pt>
                  <c:pt idx="1">
                    <c:v>A</c:v>
                  </c:pt>
                  <c:pt idx="2">
                    <c:v>B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</c:lvl>
                <c:lvl>
                  <c:pt idx="0">
                    <c:v>T1</c:v>
                  </c:pt>
                  <c:pt idx="1">
                    <c:v>T2</c:v>
                  </c:pt>
                  <c:pt idx="2">
                    <c:v>T3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Proposals!$K$2:$K$5</c15:sqref>
                  </c15:fullRef>
                </c:ext>
              </c:extLst>
              <c:f>Proposals!$K$3:$K$5</c:f>
              <c:numCache>
                <c:formatCode>General</c:formatCode>
                <c:ptCount val="3"/>
                <c:pt idx="0">
                  <c:v>8.3000000000000007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64-4BE9-9162-6C697149DB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12759552"/>
        <c:axId val="1312778272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Proposals!$E$1</c15:sqref>
                        </c15:formulaRef>
                      </c:ext>
                    </c:extLst>
                    <c:strCache>
                      <c:ptCount val="1"/>
                      <c:pt idx="0">
                        <c:v>Avg_Connects</c:v>
                      </c:pt>
                    </c:strCache>
                  </c:strRef>
                </c:tx>
                <c:spPr>
                  <a:solidFill>
                    <a:schemeClr val="accent2">
                      <a:alpha val="88000"/>
                    </a:schemeClr>
                  </a:solidFill>
                  <a:ln>
                    <a:solidFill>
                      <a:schemeClr val="accent2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2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chemeClr val="accent2">
                        <a:alpha val="30000"/>
                      </a:schemeClr>
                    </a:solidFill>
                    <a:ln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Proposals!$A$2:$C$5</c15:sqref>
                        </c15:fullRef>
                        <c15:formulaRef>
                          <c15:sqref>Proposals!$A$3:$C$5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</c:v>
                        </c:pt>
                        <c:pt idx="1">
                          <c:v>A</c:v>
                        </c:pt>
                        <c:pt idx="2">
                          <c:v>B</c:v>
                        </c:pt>
                      </c:lvl>
                      <c:lvl>
                        <c:pt idx="0">
                          <c:v>A</c:v>
                        </c:pt>
                        <c:pt idx="1">
                          <c:v>B</c:v>
                        </c:pt>
                        <c:pt idx="2">
                          <c:v>C</c:v>
                        </c:pt>
                      </c:lvl>
                      <c:lvl>
                        <c:pt idx="0">
                          <c:v>T1</c:v>
                        </c:pt>
                        <c:pt idx="1">
                          <c:v>T2</c:v>
                        </c:pt>
                        <c:pt idx="2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Proposals!$E$2:$E$5</c15:sqref>
                        </c15:fullRef>
                        <c15:formulaRef>
                          <c15:sqref>Proposals!$E$3:$E$5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12.2</c:v>
                      </c:pt>
                      <c:pt idx="1">
                        <c:v>10</c:v>
                      </c:pt>
                      <c:pt idx="2">
                        <c:v>11.1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264-4BE9-9162-6C697149DB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Proposals!$F$1</c15:sqref>
                        </c15:formulaRef>
                      </c:ext>
                    </c:extLst>
                    <c:strCache>
                      <c:ptCount val="1"/>
                      <c:pt idx="0">
                        <c:v>Replies</c:v>
                      </c:pt>
                    </c:strCache>
                  </c:strRef>
                </c:tx>
                <c:spPr>
                  <a:solidFill>
                    <a:schemeClr val="accent3">
                      <a:alpha val="88000"/>
                    </a:schemeClr>
                  </a:solidFill>
                  <a:ln>
                    <a:solidFill>
                      <a:schemeClr val="accent3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3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chemeClr val="accent3">
                        <a:alpha val="30000"/>
                      </a:schemeClr>
                    </a:solidFill>
                    <a:ln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Proposals!$A$2:$C$5</c15:sqref>
                        </c15:fullRef>
                        <c15:formulaRef>
                          <c15:sqref>Proposals!$A$3:$C$5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</c:v>
                        </c:pt>
                        <c:pt idx="1">
                          <c:v>A</c:v>
                        </c:pt>
                        <c:pt idx="2">
                          <c:v>B</c:v>
                        </c:pt>
                      </c:lvl>
                      <c:lvl>
                        <c:pt idx="0">
                          <c:v>A</c:v>
                        </c:pt>
                        <c:pt idx="1">
                          <c:v>B</c:v>
                        </c:pt>
                        <c:pt idx="2">
                          <c:v>C</c:v>
                        </c:pt>
                      </c:lvl>
                      <c:lvl>
                        <c:pt idx="0">
                          <c:v>T1</c:v>
                        </c:pt>
                        <c:pt idx="1">
                          <c:v>T2</c:v>
                        </c:pt>
                        <c:pt idx="2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Proposals!$F$2:$F$5</c15:sqref>
                        </c15:fullRef>
                        <c15:formulaRef>
                          <c15:sqref>Proposals!$F$3:$F$5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264-4BE9-9162-6C697149DBD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Proposals!$G$1</c15:sqref>
                        </c15:formulaRef>
                      </c:ext>
                    </c:extLst>
                    <c:strCache>
                      <c:ptCount val="1"/>
                      <c:pt idx="0">
                        <c:v>Interviews</c:v>
                      </c:pt>
                    </c:strCache>
                  </c:strRef>
                </c:tx>
                <c:spPr>
                  <a:solidFill>
                    <a:schemeClr val="accent4">
                      <a:alpha val="88000"/>
                    </a:schemeClr>
                  </a:solidFill>
                  <a:ln>
                    <a:solidFill>
                      <a:schemeClr val="accent4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4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chemeClr val="accent4">
                        <a:alpha val="30000"/>
                      </a:schemeClr>
                    </a:solidFill>
                    <a:ln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Proposals!$A$2:$C$5</c15:sqref>
                        </c15:fullRef>
                        <c15:formulaRef>
                          <c15:sqref>Proposals!$A$3:$C$5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</c:v>
                        </c:pt>
                        <c:pt idx="1">
                          <c:v>A</c:v>
                        </c:pt>
                        <c:pt idx="2">
                          <c:v>B</c:v>
                        </c:pt>
                      </c:lvl>
                      <c:lvl>
                        <c:pt idx="0">
                          <c:v>A</c:v>
                        </c:pt>
                        <c:pt idx="1">
                          <c:v>B</c:v>
                        </c:pt>
                        <c:pt idx="2">
                          <c:v>C</c:v>
                        </c:pt>
                      </c:lvl>
                      <c:lvl>
                        <c:pt idx="0">
                          <c:v>T1</c:v>
                        </c:pt>
                        <c:pt idx="1">
                          <c:v>T2</c:v>
                        </c:pt>
                        <c:pt idx="2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Proposals!$G$2:$G$5</c15:sqref>
                        </c15:fullRef>
                        <c15:formulaRef>
                          <c15:sqref>Proposals!$G$3:$G$5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264-4BE9-9162-6C697149DBD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Proposals!$H$1</c15:sqref>
                        </c15:formulaRef>
                      </c:ext>
                    </c:extLst>
                    <c:strCache>
                      <c:ptCount val="1"/>
                      <c:pt idx="0">
                        <c:v>Hires</c:v>
                      </c:pt>
                    </c:strCache>
                  </c:strRef>
                </c:tx>
                <c:spPr>
                  <a:solidFill>
                    <a:schemeClr val="accent5">
                      <a:alpha val="88000"/>
                    </a:schemeClr>
                  </a:solidFill>
                  <a:ln>
                    <a:solidFill>
                      <a:schemeClr val="accent5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5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chemeClr val="accent5">
                        <a:alpha val="30000"/>
                      </a:schemeClr>
                    </a:solidFill>
                    <a:ln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Proposals!$A$2:$C$5</c15:sqref>
                        </c15:fullRef>
                        <c15:formulaRef>
                          <c15:sqref>Proposals!$A$3:$C$5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A</c:v>
                        </c:pt>
                        <c:pt idx="1">
                          <c:v>A</c:v>
                        </c:pt>
                        <c:pt idx="2">
                          <c:v>B</c:v>
                        </c:pt>
                      </c:lvl>
                      <c:lvl>
                        <c:pt idx="0">
                          <c:v>A</c:v>
                        </c:pt>
                        <c:pt idx="1">
                          <c:v>B</c:v>
                        </c:pt>
                        <c:pt idx="2">
                          <c:v>C</c:v>
                        </c:pt>
                      </c:lvl>
                      <c:lvl>
                        <c:pt idx="0">
                          <c:v>T1</c:v>
                        </c:pt>
                        <c:pt idx="1">
                          <c:v>T2</c:v>
                        </c:pt>
                        <c:pt idx="2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Proposals!$H$2:$H$5</c15:sqref>
                        </c15:fullRef>
                        <c15:formulaRef>
                          <c15:sqref>Proposals!$H$3:$H$5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264-4BE9-9162-6C697149DBD3}"/>
                  </c:ext>
                </c:extLst>
              </c15:ser>
            </c15:filteredBarSeries>
          </c:ext>
        </c:extLst>
      </c:bar3DChart>
      <c:catAx>
        <c:axId val="13127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312778272"/>
        <c:crosses val="autoZero"/>
        <c:auto val="1"/>
        <c:lblAlgn val="ctr"/>
        <c:lblOffset val="100"/>
        <c:noMultiLvlLbl val="0"/>
      </c:catAx>
      <c:valAx>
        <c:axId val="1312778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127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bg1"/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Job Complexity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20421514474869"/>
          <c:y val="0.25510575151683279"/>
          <c:w val="0.52168253222078587"/>
          <c:h val="0.5920177787735883"/>
        </c:manualLayout>
      </c:layout>
      <c:pieChart>
        <c:varyColors val="1"/>
        <c:ser>
          <c:idx val="1"/>
          <c:order val="1"/>
          <c:tx>
            <c:strRef>
              <c:f>Complexity!$C$1</c:f>
              <c:strCache>
                <c:ptCount val="1"/>
                <c:pt idx="0">
                  <c:v>Pct_of_Total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0E7-4987-92FA-6C5AE6E244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0E7-4987-92FA-6C5AE6E244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0E7-4987-92FA-6C5AE6E244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0E7-4987-92FA-6C5AE6E244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Complexity!$A$2:$A$5</c:f>
              <c:strCache>
                <c:ptCount val="4"/>
                <c:pt idx="0">
                  <c:v>Large</c:v>
                </c:pt>
                <c:pt idx="1">
                  <c:v>Normal</c:v>
                </c:pt>
                <c:pt idx="2">
                  <c:v>Complex</c:v>
                </c:pt>
                <c:pt idx="3">
                  <c:v>Simple</c:v>
                </c:pt>
              </c:strCache>
            </c:strRef>
          </c:cat>
          <c:val>
            <c:numRef>
              <c:f>Complexity!$C$2:$C$5</c:f>
              <c:numCache>
                <c:formatCode>0.0"%"</c:formatCode>
                <c:ptCount val="4"/>
                <c:pt idx="0">
                  <c:v>44.5</c:v>
                </c:pt>
                <c:pt idx="1">
                  <c:v>26.8</c:v>
                </c:pt>
                <c:pt idx="2">
                  <c:v>23.9</c:v>
                </c:pt>
                <c:pt idx="3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E7-4987-92FA-6C5AE6E2440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Complexity!$B$1</c15:sqref>
                        </c15:formulaRef>
                      </c:ext>
                    </c:extLst>
                    <c:strCache>
                      <c:ptCount val="1"/>
                      <c:pt idx="0">
                        <c:v>Job_Count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A-50E7-4987-92FA-6C5AE6E2440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C-50E7-4987-92FA-6C5AE6E2440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E-50E7-4987-92FA-6C5AE6E2440B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0-50E7-4987-92FA-6C5AE6E2440B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Complexity!$A$2:$A$5</c15:sqref>
                        </c15:formulaRef>
                      </c:ext>
                    </c:extLst>
                    <c:strCache>
                      <c:ptCount val="4"/>
                      <c:pt idx="0">
                        <c:v>Large</c:v>
                      </c:pt>
                      <c:pt idx="1">
                        <c:v>Normal</c:v>
                      </c:pt>
                      <c:pt idx="2">
                        <c:v>Complex</c:v>
                      </c:pt>
                      <c:pt idx="3">
                        <c:v>Simple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Complexity!$B$2:$B$5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93</c:v>
                      </c:pt>
                      <c:pt idx="1">
                        <c:v>56</c:v>
                      </c:pt>
                      <c:pt idx="2">
                        <c:v>50</c:v>
                      </c:pt>
                      <c:pt idx="3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1-50E7-4987-92FA-6C5AE6E2440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5875485655401134"/>
          <c:y val="0.24892728093947605"/>
          <c:w val="0.32722764132095428"/>
          <c:h val="0.609051028174323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bg1"/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Keyword Priority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1028542622151348"/>
          <c:y val="0.28847384773360124"/>
          <c:w val="0.55909522791905708"/>
          <c:h val="0.668515341312798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Keyword!$C$1</c:f>
              <c:strCache>
                <c:ptCount val="1"/>
                <c:pt idx="0">
                  <c:v>Priority_Score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Keyword!$A$2:$B$6</c15:sqref>
                  </c15:fullRef>
                  <c15:levelRef>
                    <c15:sqref>Keyword!$A$2:$A$6</c15:sqref>
                  </c15:levelRef>
                </c:ext>
              </c:extLst>
              <c:f>Keyword!$A$2:$A$6</c:f>
              <c:strCache>
                <c:ptCount val="5"/>
                <c:pt idx="0">
                  <c:v>Power BI Sales Dashboard</c:v>
                </c:pt>
                <c:pt idx="1">
                  <c:v>Looker Studio Marketing Dashboard</c:v>
                </c:pt>
                <c:pt idx="2">
                  <c:v>looker studio marketing dashboard</c:v>
                </c:pt>
                <c:pt idx="3">
                  <c:v>Looker Studio Marketing Dashboard Developer</c:v>
                </c:pt>
                <c:pt idx="4">
                  <c:v>Google Sheets Sales Dashboard</c:v>
                </c:pt>
              </c:strCache>
            </c:strRef>
          </c:cat>
          <c:val>
            <c:numRef>
              <c:f>Keyword!$C$2:$C$6</c:f>
              <c:numCache>
                <c:formatCode>General</c:formatCode>
                <c:ptCount val="5"/>
                <c:pt idx="0">
                  <c:v>0.55000000000000004</c:v>
                </c:pt>
                <c:pt idx="1">
                  <c:v>0.53</c:v>
                </c:pt>
                <c:pt idx="2">
                  <c:v>0.53</c:v>
                </c:pt>
                <c:pt idx="3">
                  <c:v>0.53</c:v>
                </c:pt>
                <c:pt idx="4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F-48BC-AA84-517AD083E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37913392"/>
        <c:axId val="16379138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Keyword!$D$1</c15:sqref>
                        </c15:formulaRef>
                      </c:ext>
                    </c:extLst>
                    <c:strCache>
                      <c:ptCount val="1"/>
                      <c:pt idx="0">
                        <c:v>Status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Keyword!$D$2:$D$6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73F-48BC-AA84-517AD083E3C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Keyword!$E$1</c15:sqref>
                        </c15:formulaRef>
                      </c:ext>
                    </c:extLst>
                    <c:strCache>
                      <c:ptCount val="1"/>
                      <c:pt idx="0">
                        <c:v>Total_Scored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9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73F-48BC-AA84-517AD083E3C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Keyword!$F$1</c15:sqref>
                        </c15:formulaRef>
                      </c:ext>
                    </c:extLst>
                    <c:strCache>
                      <c:ptCount val="1"/>
                      <c:pt idx="0">
                        <c:v>APPLY_Count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8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73F-48BC-AA84-517AD083E3C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Keyword!$G$1</c15:sqref>
                        </c15:formulaRef>
                      </c:ext>
                    </c:extLst>
                    <c:strCache>
                      <c:ptCount val="1"/>
                      <c:pt idx="0">
                        <c:v>SKIP_Count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73F-48BC-AA84-517AD083E3C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Keyword!$H$1</c15:sqref>
                        </c15:formulaRef>
                      </c:ext>
                    </c:extLst>
                    <c:strCache>
                      <c:ptCount val="1"/>
                      <c:pt idx="0">
                        <c:v>HOLD_Count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A73F-48BC-AA84-517AD083E3C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Keyword!$I$1</c15:sqref>
                        </c15:formulaRef>
                      </c:ext>
                    </c:extLst>
                    <c:strCache>
                      <c:ptCount val="1"/>
                      <c:pt idx="0">
                        <c:v>APPLY_Rate_Pct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Keyword!$I$2:$I$6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66.7</c:v>
                      </c:pt>
                      <c:pt idx="1">
                        <c:v>100</c:v>
                      </c:pt>
                      <c:pt idx="2">
                        <c:v>33.299999999999997</c:v>
                      </c:pt>
                      <c:pt idx="3">
                        <c:v>88.9</c:v>
                      </c:pt>
                      <c:pt idx="4">
                        <c:v>100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73F-48BC-AA84-517AD083E3C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Keyword!$J$1</c15:sqref>
                        </c15:formulaRef>
                      </c:ext>
                    </c:extLst>
                    <c:strCache>
                      <c:ptCount val="1"/>
                      <c:pt idx="0">
                        <c:v>Avg_Score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Keyword!$J$2:$J$6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0.8</c:v>
                      </c:pt>
                      <c:pt idx="1">
                        <c:v>0.87</c:v>
                      </c:pt>
                      <c:pt idx="2">
                        <c:v>0.79300000000000004</c:v>
                      </c:pt>
                      <c:pt idx="3">
                        <c:v>0.74</c:v>
                      </c:pt>
                      <c:pt idx="4">
                        <c:v>0.81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73F-48BC-AA84-517AD083E3CF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Keyword!$K$1</c15:sqref>
                        </c15:formulaRef>
                      </c:ext>
                    </c:extLst>
                    <c:strCache>
                      <c:ptCount val="1"/>
                      <c:pt idx="0">
                        <c:v>Avg_Competition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Keyword!$K$2:$K$6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15</c:v>
                      </c:pt>
                      <c:pt idx="2">
                        <c:v>13</c:v>
                      </c:pt>
                      <c:pt idx="3">
                        <c:v>13.9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A73F-48BC-AA84-517AD083E3CF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Keyword!$L$1</c15:sqref>
                        </c15:formulaRef>
                      </c:ext>
                    </c:extLst>
                    <c:strCache>
                      <c:ptCount val="1"/>
                      <c:pt idx="0">
                        <c:v>Connect_Efficiency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Keyword!$L$2:$L$6</c15:sqref>
                        </c15:formulaRef>
                      </c:ext>
                    </c:extLst>
                    <c:numCache>
                      <c:formatCode>0.0000</c:formatCode>
                      <c:ptCount val="5"/>
                      <c:pt idx="0">
                        <c:v>5.6140350880000002E-2</c:v>
                      </c:pt>
                      <c:pt idx="1">
                        <c:v>4.8945783130000003E-2</c:v>
                      </c:pt>
                      <c:pt idx="2">
                        <c:v>4.8945783130000003E-2</c:v>
                      </c:pt>
                      <c:pt idx="3">
                        <c:v>5.2282608699999997E-2</c:v>
                      </c:pt>
                      <c:pt idx="4">
                        <c:v>7.0434782609999996E-2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73F-48BC-AA84-517AD083E3CF}"/>
                  </c:ext>
                </c:extLst>
              </c15:ser>
            </c15:filteredBarSeries>
          </c:ext>
        </c:extLst>
      </c:barChart>
      <c:catAx>
        <c:axId val="1637913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637913872"/>
        <c:crosses val="autoZero"/>
        <c:auto val="1"/>
        <c:lblAlgn val="ctr"/>
        <c:lblOffset val="100"/>
        <c:noMultiLvlLbl val="0"/>
      </c:catAx>
      <c:valAx>
        <c:axId val="163791387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3791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Projection vs Target Connect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Costs!$D$2</c:f>
              <c:strCache>
                <c:ptCount val="1"/>
                <c:pt idx="0">
                  <c:v>Projected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Costs!$E$2</c:f>
              <c:numCache>
                <c:formatCode>General</c:formatCode>
                <c:ptCount val="1"/>
                <c:pt idx="0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6-4F51-B1FE-577E39BC52E7}"/>
            </c:ext>
          </c:extLst>
        </c:ser>
        <c:ser>
          <c:idx val="1"/>
          <c:order val="1"/>
          <c:tx>
            <c:strRef>
              <c:f>Costs!$D$3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Costs!$E$3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6-4F51-B1FE-577E39BC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081664"/>
        <c:axId val="1624082144"/>
        <c:axId val="0"/>
      </c:bar3DChart>
      <c:catAx>
        <c:axId val="1624081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24082144"/>
        <c:crosses val="autoZero"/>
        <c:auto val="1"/>
        <c:lblAlgn val="ctr"/>
        <c:lblOffset val="100"/>
        <c:noMultiLvlLbl val="0"/>
      </c:catAx>
      <c:valAx>
        <c:axId val="16240821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62408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bg1"/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defRPr>
            </a:pPr>
            <a:r>
              <a:rPr lang="en-US" sz="1400" b="1" i="0" u="none" strike="noStrike" kern="1200" cap="all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SCORE vs COMPETITION BY KEYWORD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cap="all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01791763770334"/>
          <c:y val="0.21166217647518784"/>
          <c:w val="0.73656935615097141"/>
          <c:h val="0.54077179529101305"/>
        </c:manualLayout>
      </c:layout>
      <c:scatterChart>
        <c:scatterStyle val="lineMarker"/>
        <c:varyColors val="0"/>
        <c:ser>
          <c:idx val="0"/>
          <c:order val="0"/>
          <c:tx>
            <c:v>Test More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3A6A5"/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Keyword!$V$3:$V$22</c:f>
              <c:numCache>
                <c:formatCode>General</c:formatCode>
                <c:ptCount val="20"/>
                <c:pt idx="0">
                  <c:v>25</c:v>
                </c:pt>
                <c:pt idx="1">
                  <c:v>15</c:v>
                </c:pt>
                <c:pt idx="2">
                  <c:v>13</c:v>
                </c:pt>
                <c:pt idx="3">
                  <c:v>13.9</c:v>
                </c:pt>
                <c:pt idx="4">
                  <c:v>5</c:v>
                </c:pt>
                <c:pt idx="5">
                  <c:v>35</c:v>
                </c:pt>
                <c:pt idx="6">
                  <c:v>30</c:v>
                </c:pt>
                <c:pt idx="7">
                  <c:v>28</c:v>
                </c:pt>
                <c:pt idx="8">
                  <c:v>15</c:v>
                </c:pt>
                <c:pt idx="9">
                  <c:v>29.1</c:v>
                </c:pt>
                <c:pt idx="10">
                  <c:v>34.5</c:v>
                </c:pt>
                <c:pt idx="11">
                  <c:v>12.5</c:v>
                </c:pt>
                <c:pt idx="12">
                  <c:v>33.799999999999997</c:v>
                </c:pt>
                <c:pt idx="13">
                  <c:v>15</c:v>
                </c:pt>
                <c:pt idx="14">
                  <c:v>40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xVal>
          <c:yVal>
            <c:numRef>
              <c:f>Keyword!$W$3:$W$22</c:f>
              <c:numCache>
                <c:formatCode>General</c:formatCode>
                <c:ptCount val="20"/>
                <c:pt idx="0">
                  <c:v>0.8</c:v>
                </c:pt>
                <c:pt idx="1">
                  <c:v>0.87</c:v>
                </c:pt>
                <c:pt idx="2">
                  <c:v>0.79300000000000004</c:v>
                </c:pt>
                <c:pt idx="3">
                  <c:v>0.74</c:v>
                </c:pt>
                <c:pt idx="4">
                  <c:v>0.81</c:v>
                </c:pt>
                <c:pt idx="5">
                  <c:v>0.71699999999999997</c:v>
                </c:pt>
                <c:pt idx="6">
                  <c:v>0.71099999999999997</c:v>
                </c:pt>
                <c:pt idx="7">
                  <c:v>0.67600000000000005</c:v>
                </c:pt>
                <c:pt idx="8">
                  <c:v>0.75</c:v>
                </c:pt>
                <c:pt idx="9">
                  <c:v>0.71899999999999997</c:v>
                </c:pt>
                <c:pt idx="10">
                  <c:v>0.68300000000000005</c:v>
                </c:pt>
                <c:pt idx="11">
                  <c:v>0.73</c:v>
                </c:pt>
                <c:pt idx="12">
                  <c:v>0.69799999999999995</c:v>
                </c:pt>
                <c:pt idx="13">
                  <c:v>0.68500000000000005</c:v>
                </c:pt>
                <c:pt idx="14">
                  <c:v>0.72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D-4FAB-9D18-33F1E02B1271}"/>
            </c:ext>
          </c:extLst>
        </c:ser>
        <c:ser>
          <c:idx val="1"/>
          <c:order val="1"/>
          <c:tx>
            <c:v>Drop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C78A03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Keyword!$X$3:$X$22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35.799999999999997</c:v>
                </c:pt>
                <c:pt idx="16">
                  <c:v>34.4</c:v>
                </c:pt>
                <c:pt idx="17">
                  <c:v>10</c:v>
                </c:pt>
                <c:pt idx="18">
                  <c:v>5</c:v>
                </c:pt>
                <c:pt idx="19">
                  <c:v>40</c:v>
                </c:pt>
              </c:numCache>
            </c:numRef>
          </c:xVal>
          <c:yVal>
            <c:numRef>
              <c:f>Keyword!$Y$3:$Y$22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0.63800000000000001</c:v>
                </c:pt>
                <c:pt idx="16">
                  <c:v>0.72199999999999998</c:v>
                </c:pt>
                <c:pt idx="17">
                  <c:v>0.67</c:v>
                </c:pt>
                <c:pt idx="18">
                  <c:v>0.8</c:v>
                </c:pt>
                <c:pt idx="19">
                  <c:v>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9D-4FAB-9D18-33F1E02B1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814464"/>
        <c:axId val="1791810144"/>
      </c:scatterChart>
      <c:valAx>
        <c:axId val="179181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800" b="0" i="0" u="none" strike="noStrike" kern="1200" cap="all" baseline="0">
                    <a:solidFill>
                      <a:schemeClr val="bg1"/>
                    </a:solidFill>
                    <a:latin typeface="Rockwell" panose="02060603020205020403" pitchFamily="18" charset="0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chemeClr val="bg1"/>
                    </a:solidFill>
                    <a:latin typeface="Rockwell" panose="02060603020205020403" pitchFamily="18" charset="0"/>
                    <a:ea typeface="+mn-ea"/>
                    <a:cs typeface="+mn-cs"/>
                  </a:rPr>
                  <a:t>Avg competition</a:t>
                </a:r>
              </a:p>
            </c:rich>
          </c:tx>
          <c:layout>
            <c:manualLayout>
              <c:xMode val="edge"/>
              <c:yMode val="edge"/>
              <c:x val="0.37376431273586425"/>
              <c:y val="0.891729333660724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800" b="0" i="0" u="none" strike="noStrike" kern="1200" cap="all" baseline="0">
                  <a:solidFill>
                    <a:schemeClr val="bg1"/>
                  </a:solidFill>
                  <a:latin typeface="Rockwell" panose="020606030202050204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791810144"/>
        <c:crosses val="autoZero"/>
        <c:crossBetween val="midCat"/>
      </c:valAx>
      <c:valAx>
        <c:axId val="179181014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800" b="0" i="0" u="none" strike="noStrike" kern="1200" cap="all" baseline="0">
                    <a:solidFill>
                      <a:schemeClr val="bg1"/>
                    </a:solidFill>
                    <a:latin typeface="Rockwell" panose="02060603020205020403" pitchFamily="18" charset="0"/>
                    <a:ea typeface="+mn-ea"/>
                    <a:cs typeface="+mn-cs"/>
                  </a:defRPr>
                </a:pPr>
                <a:r>
                  <a:rPr lang="en-US" sz="800" b="0" i="0" u="none" strike="noStrike" kern="1200" cap="all" baseline="0">
                    <a:solidFill>
                      <a:schemeClr val="bg1"/>
                    </a:solidFill>
                    <a:latin typeface="Rockwell" panose="02060603020205020403" pitchFamily="18" charset="0"/>
                    <a:ea typeface="+mn-ea"/>
                    <a:cs typeface="+mn-cs"/>
                  </a:rPr>
                  <a:t>Avg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800" b="0" i="0" u="none" strike="noStrike" kern="1200" cap="all" baseline="0">
                  <a:solidFill>
                    <a:schemeClr val="bg1"/>
                  </a:solidFill>
                  <a:latin typeface="Rockwell" panose="020606030202050204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bg1"/>
                </a:solidFill>
                <a:latin typeface="Rockwell" panose="02060603020205020403" pitchFamily="18" charset="0"/>
                <a:ea typeface="+mn-ea"/>
                <a:cs typeface="+mn-cs"/>
              </a:defRPr>
            </a:pPr>
            <a:endParaRPr lang="en-US"/>
          </a:p>
        </c:txPr>
        <c:crossAx val="179181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886509370216635"/>
          <c:y val="0.23007697392991366"/>
          <c:w val="0.13224062403758199"/>
          <c:h val="0.42087958175875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bg1"/>
              </a:solidFill>
              <a:latin typeface="Rockwell" panose="020606030202050204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Keyword!$C$1</c:f>
              <c:strCache>
                <c:ptCount val="1"/>
                <c:pt idx="0">
                  <c:v>Priority_Score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Keyword!$A$2:$B$6</c15:sqref>
                  </c15:fullRef>
                  <c15:levelRef>
                    <c15:sqref>Keyword!$A$2:$A$6</c15:sqref>
                  </c15:levelRef>
                </c:ext>
              </c:extLst>
              <c:f>Keyword!$A$2:$A$6</c:f>
              <c:strCache>
                <c:ptCount val="5"/>
                <c:pt idx="0">
                  <c:v>Power BI Sales Dashboard</c:v>
                </c:pt>
                <c:pt idx="1">
                  <c:v>Looker Studio Marketing Dashboard</c:v>
                </c:pt>
                <c:pt idx="2">
                  <c:v>looker studio marketing dashboard</c:v>
                </c:pt>
                <c:pt idx="3">
                  <c:v>Looker Studio Marketing Dashboard Developer</c:v>
                </c:pt>
                <c:pt idx="4">
                  <c:v>Google Sheets Sales Dashboard</c:v>
                </c:pt>
              </c:strCache>
            </c:strRef>
          </c:cat>
          <c:val>
            <c:numRef>
              <c:f>Keyword!$C$2:$C$6</c:f>
              <c:numCache>
                <c:formatCode>General</c:formatCode>
                <c:ptCount val="5"/>
                <c:pt idx="0">
                  <c:v>0.55000000000000004</c:v>
                </c:pt>
                <c:pt idx="1">
                  <c:v>0.53</c:v>
                </c:pt>
                <c:pt idx="2">
                  <c:v>0.53</c:v>
                </c:pt>
                <c:pt idx="3">
                  <c:v>0.53</c:v>
                </c:pt>
                <c:pt idx="4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E-4F7A-915E-499FAAF97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37913392"/>
        <c:axId val="16379138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Keyword!$D$1</c15:sqref>
                        </c15:formulaRef>
                      </c:ext>
                    </c:extLst>
                    <c:strCache>
                      <c:ptCount val="1"/>
                      <c:pt idx="0">
                        <c:v>Status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Keyword!$D$2:$D$6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A2E-4F7A-915E-499FAAF97C5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Keyword!$E$1</c15:sqref>
                        </c15:formulaRef>
                      </c:ext>
                    </c:extLst>
                    <c:strCache>
                      <c:ptCount val="1"/>
                      <c:pt idx="0">
                        <c:v>Total_Scored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9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A2E-4F7A-915E-499FAAF97C5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Keyword!$F$1</c15:sqref>
                        </c15:formulaRef>
                      </c:ext>
                    </c:extLst>
                    <c:strCache>
                      <c:ptCount val="1"/>
                      <c:pt idx="0">
                        <c:v>APPLY_Count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8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A2E-4F7A-915E-499FAAF97C5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Keyword!$G$1</c15:sqref>
                        </c15:formulaRef>
                      </c:ext>
                    </c:extLst>
                    <c:strCache>
                      <c:ptCount val="1"/>
                      <c:pt idx="0">
                        <c:v>SKIP_Count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7A2E-4F7A-915E-499FAAF97C5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Keyword!$H$1</c15:sqref>
                        </c15:formulaRef>
                      </c:ext>
                    </c:extLst>
                    <c:strCache>
                      <c:ptCount val="1"/>
                      <c:pt idx="0">
                        <c:v>HOLD_Count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Keyword!$H$2:$H$6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7A2E-4F7A-915E-499FAAF97C5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Keyword!$I$1</c15:sqref>
                        </c15:formulaRef>
                      </c:ext>
                    </c:extLst>
                    <c:strCache>
                      <c:ptCount val="1"/>
                      <c:pt idx="0">
                        <c:v>APPLY_Rate_Pct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Keyword!$I$2:$I$6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66.7</c:v>
                      </c:pt>
                      <c:pt idx="1">
                        <c:v>100</c:v>
                      </c:pt>
                      <c:pt idx="2">
                        <c:v>33.299999999999997</c:v>
                      </c:pt>
                      <c:pt idx="3">
                        <c:v>88.9</c:v>
                      </c:pt>
                      <c:pt idx="4">
                        <c:v>100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A2E-4F7A-915E-499FAAF97C5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Keyword!$J$1</c15:sqref>
                        </c15:formulaRef>
                      </c:ext>
                    </c:extLst>
                    <c:strCache>
                      <c:ptCount val="1"/>
                      <c:pt idx="0">
                        <c:v>Avg_Score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Keyword!$J$2:$J$6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0.8</c:v>
                      </c:pt>
                      <c:pt idx="1">
                        <c:v>0.87</c:v>
                      </c:pt>
                      <c:pt idx="2">
                        <c:v>0.79300000000000004</c:v>
                      </c:pt>
                      <c:pt idx="3">
                        <c:v>0.74</c:v>
                      </c:pt>
                      <c:pt idx="4">
                        <c:v>0.81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7A2E-4F7A-915E-499FAAF97C5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Keyword!$K$1</c15:sqref>
                        </c15:formulaRef>
                      </c:ext>
                    </c:extLst>
                    <c:strCache>
                      <c:ptCount val="1"/>
                      <c:pt idx="0">
                        <c:v>Avg_Competition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Keyword!$K$2:$K$6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15</c:v>
                      </c:pt>
                      <c:pt idx="2">
                        <c:v>13</c:v>
                      </c:pt>
                      <c:pt idx="3">
                        <c:v>13.9</c:v>
                      </c:pt>
                      <c:pt idx="4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A2E-4F7A-915E-499FAAF97C57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Keyword!$L$1</c15:sqref>
                        </c15:formulaRef>
                      </c:ext>
                    </c:extLst>
                    <c:strCache>
                      <c:ptCount val="1"/>
                      <c:pt idx="0">
                        <c:v>Connect_Efficiency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Keyword!$A$2:$B$6</c15:sqref>
                        </c15:fullRef>
                        <c15:levelRef>
                          <c15:sqref>Keyword!$A$2:$A$6</c15:sqref>
                        </c15:levelRef>
                        <c15:formulaRef>
                          <c15:sqref>Keyword!$A$2:$A$6</c15:sqref>
                        </c15:formulaRef>
                      </c:ext>
                    </c:extLst>
                    <c:strCache>
                      <c:ptCount val="5"/>
                      <c:pt idx="0">
                        <c:v>Power BI Sales Dashboard</c:v>
                      </c:pt>
                      <c:pt idx="1">
                        <c:v>Looker Studio Marketing Dashboard</c:v>
                      </c:pt>
                      <c:pt idx="2">
                        <c:v>looker studio marketing dashboard</c:v>
                      </c:pt>
                      <c:pt idx="3">
                        <c:v>Looker Studio Marketing Dashboard Developer</c:v>
                      </c:pt>
                      <c:pt idx="4">
                        <c:v>Google Sheets Sales Dashboard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Keyword!$L$2:$L$6</c15:sqref>
                        </c15:formulaRef>
                      </c:ext>
                    </c:extLst>
                    <c:numCache>
                      <c:formatCode>0.0000</c:formatCode>
                      <c:ptCount val="5"/>
                      <c:pt idx="0">
                        <c:v>5.6140350880000002E-2</c:v>
                      </c:pt>
                      <c:pt idx="1">
                        <c:v>4.8945783130000003E-2</c:v>
                      </c:pt>
                      <c:pt idx="2">
                        <c:v>4.8945783130000003E-2</c:v>
                      </c:pt>
                      <c:pt idx="3">
                        <c:v>5.2282608699999997E-2</c:v>
                      </c:pt>
                      <c:pt idx="4">
                        <c:v>7.0434782609999996E-2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7A2E-4F7A-915E-499FAAF97C57}"/>
                  </c:ext>
                </c:extLst>
              </c15:ser>
            </c15:filteredBarSeries>
          </c:ext>
        </c:extLst>
      </c:barChart>
      <c:catAx>
        <c:axId val="1637913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13872"/>
        <c:crosses val="autoZero"/>
        <c:auto val="1"/>
        <c:lblAlgn val="ctr"/>
        <c:lblOffset val="100"/>
        <c:noMultiLvlLbl val="0"/>
      </c:catAx>
      <c:valAx>
        <c:axId val="163791387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1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SCORE</a:t>
            </a:r>
            <a:r>
              <a:rPr lang="en-US" baseline="0"/>
              <a:t> vs COMPETITION BY KEYWORD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Test More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3A6A5"/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Keyword!$V$3:$V$22</c:f>
              <c:numCache>
                <c:formatCode>General</c:formatCode>
                <c:ptCount val="20"/>
                <c:pt idx="0">
                  <c:v>25</c:v>
                </c:pt>
                <c:pt idx="1">
                  <c:v>15</c:v>
                </c:pt>
                <c:pt idx="2">
                  <c:v>13</c:v>
                </c:pt>
                <c:pt idx="3">
                  <c:v>13.9</c:v>
                </c:pt>
                <c:pt idx="4">
                  <c:v>5</c:v>
                </c:pt>
                <c:pt idx="5">
                  <c:v>35</c:v>
                </c:pt>
                <c:pt idx="6">
                  <c:v>30</c:v>
                </c:pt>
                <c:pt idx="7">
                  <c:v>28</c:v>
                </c:pt>
                <c:pt idx="8">
                  <c:v>15</c:v>
                </c:pt>
                <c:pt idx="9">
                  <c:v>29.1</c:v>
                </c:pt>
                <c:pt idx="10">
                  <c:v>34.5</c:v>
                </c:pt>
                <c:pt idx="11">
                  <c:v>12.5</c:v>
                </c:pt>
                <c:pt idx="12">
                  <c:v>33.799999999999997</c:v>
                </c:pt>
                <c:pt idx="13">
                  <c:v>15</c:v>
                </c:pt>
                <c:pt idx="14">
                  <c:v>40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xVal>
          <c:yVal>
            <c:numRef>
              <c:f>Keyword!$W$3:$W$22</c:f>
              <c:numCache>
                <c:formatCode>General</c:formatCode>
                <c:ptCount val="20"/>
                <c:pt idx="0">
                  <c:v>0.8</c:v>
                </c:pt>
                <c:pt idx="1">
                  <c:v>0.87</c:v>
                </c:pt>
                <c:pt idx="2">
                  <c:v>0.79300000000000004</c:v>
                </c:pt>
                <c:pt idx="3">
                  <c:v>0.74</c:v>
                </c:pt>
                <c:pt idx="4">
                  <c:v>0.81</c:v>
                </c:pt>
                <c:pt idx="5">
                  <c:v>0.71699999999999997</c:v>
                </c:pt>
                <c:pt idx="6">
                  <c:v>0.71099999999999997</c:v>
                </c:pt>
                <c:pt idx="7">
                  <c:v>0.67600000000000005</c:v>
                </c:pt>
                <c:pt idx="8">
                  <c:v>0.75</c:v>
                </c:pt>
                <c:pt idx="9">
                  <c:v>0.71899999999999997</c:v>
                </c:pt>
                <c:pt idx="10">
                  <c:v>0.68300000000000005</c:v>
                </c:pt>
                <c:pt idx="11">
                  <c:v>0.73</c:v>
                </c:pt>
                <c:pt idx="12">
                  <c:v>0.69799999999999995</c:v>
                </c:pt>
                <c:pt idx="13">
                  <c:v>0.68500000000000005</c:v>
                </c:pt>
                <c:pt idx="14">
                  <c:v>0.72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0-4049-9FE1-89055FE141B9}"/>
            </c:ext>
          </c:extLst>
        </c:ser>
        <c:ser>
          <c:idx val="1"/>
          <c:order val="1"/>
          <c:tx>
            <c:v>Drop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C78A03"/>
              </a:soli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Keyword!$X$3:$X$22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35.799999999999997</c:v>
                </c:pt>
                <c:pt idx="16">
                  <c:v>34.4</c:v>
                </c:pt>
                <c:pt idx="17">
                  <c:v>10</c:v>
                </c:pt>
                <c:pt idx="18">
                  <c:v>5</c:v>
                </c:pt>
                <c:pt idx="19">
                  <c:v>40</c:v>
                </c:pt>
              </c:numCache>
            </c:numRef>
          </c:xVal>
          <c:yVal>
            <c:numRef>
              <c:f>Keyword!$Y$3:$Y$22</c:f>
              <c:numCache>
                <c:formatCode>General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0.63800000000000001</c:v>
                </c:pt>
                <c:pt idx="16">
                  <c:v>0.72199999999999998</c:v>
                </c:pt>
                <c:pt idx="17">
                  <c:v>0.67</c:v>
                </c:pt>
                <c:pt idx="18">
                  <c:v>0.8</c:v>
                </c:pt>
                <c:pt idx="19">
                  <c:v>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20-4049-9FE1-89055FE14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814464"/>
        <c:axId val="1791810144"/>
      </c:scatterChart>
      <c:valAx>
        <c:axId val="179181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competition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810144"/>
        <c:crosses val="autoZero"/>
        <c:crossBetween val="midCat"/>
      </c:valAx>
      <c:valAx>
        <c:axId val="1791810144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81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Tool 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Tools!$B$1</c:f>
              <c:strCache>
                <c:ptCount val="1"/>
                <c:pt idx="0">
                  <c:v>Total_Jobs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0-40CD-B807-8AE69445472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0-40CD-B807-8AE69445472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D0-40CD-B807-8AE69445472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D0-40CD-B807-8AE69445472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7D0-40CD-B807-8AE69445472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7D0-40CD-B807-8AE69445472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7D0-40CD-B807-8AE6944547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Tools!$A$2:$A$8</c:f>
              <c:strCache>
                <c:ptCount val="7"/>
                <c:pt idx="0">
                  <c:v>Looker Studio</c:v>
                </c:pt>
                <c:pt idx="1">
                  <c:v>Other</c:v>
                </c:pt>
                <c:pt idx="2">
                  <c:v>Excel</c:v>
                </c:pt>
                <c:pt idx="3">
                  <c:v>Power BI</c:v>
                </c:pt>
                <c:pt idx="4">
                  <c:v>Google Sheets</c:v>
                </c:pt>
                <c:pt idx="5">
                  <c:v>Tableau</c:v>
                </c:pt>
                <c:pt idx="6">
                  <c:v>SQL</c:v>
                </c:pt>
              </c:strCache>
            </c:strRef>
          </c:cat>
          <c:val>
            <c:numRef>
              <c:f>Tools!$B$2:$B$8</c:f>
              <c:numCache>
                <c:formatCode>General</c:formatCode>
                <c:ptCount val="7"/>
                <c:pt idx="0">
                  <c:v>43</c:v>
                </c:pt>
                <c:pt idx="1">
                  <c:v>41</c:v>
                </c:pt>
                <c:pt idx="2">
                  <c:v>39</c:v>
                </c:pt>
                <c:pt idx="3">
                  <c:v>39</c:v>
                </c:pt>
                <c:pt idx="4">
                  <c:v>32</c:v>
                </c:pt>
                <c:pt idx="5">
                  <c:v>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6-4565-987F-EF00F8628FC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Scores!$A$2</c:f>
              <c:strCache>
                <c:ptCount val="1"/>
                <c:pt idx="0">
                  <c:v>1. 0.80+ High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Scores!$B$2:$E$2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6-4596-A9AB-0A387E39E1D2}"/>
            </c:ext>
          </c:extLst>
        </c:ser>
        <c:ser>
          <c:idx val="1"/>
          <c:order val="1"/>
          <c:tx>
            <c:strRef>
              <c:f>Scores!$A$3</c:f>
              <c:strCache>
                <c:ptCount val="1"/>
                <c:pt idx="0">
                  <c:v>2. 0.75-0.79 Good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Scores!$B$3:$E$3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6-4596-A9AB-0A387E39E1D2}"/>
            </c:ext>
          </c:extLst>
        </c:ser>
        <c:ser>
          <c:idx val="2"/>
          <c:order val="2"/>
          <c:tx>
            <c:strRef>
              <c:f>Scores!$A$4</c:f>
              <c:strCache>
                <c:ptCount val="1"/>
                <c:pt idx="0">
                  <c:v>3. 0.70-0.74 Solid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Scores!$B$4:$E$4</c:f>
              <c:numCache>
                <c:formatCode>General</c:formatCode>
                <c:ptCount val="4"/>
                <c:pt idx="0">
                  <c:v>27</c:v>
                </c:pt>
                <c:pt idx="1">
                  <c:v>27</c:v>
                </c:pt>
                <c:pt idx="2">
                  <c:v>14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6-4596-A9AB-0A387E39E1D2}"/>
            </c:ext>
          </c:extLst>
        </c:ser>
        <c:ser>
          <c:idx val="3"/>
          <c:order val="3"/>
          <c:tx>
            <c:strRef>
              <c:f>Scores!$A$5</c:f>
              <c:strCache>
                <c:ptCount val="1"/>
                <c:pt idx="0">
                  <c:v>4. 0.65-0.69 Marginal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Scores!$B$5:$E$5</c:f>
              <c:numCache>
                <c:formatCode>General</c:formatCode>
                <c:ptCount val="4"/>
                <c:pt idx="0">
                  <c:v>33</c:v>
                </c:pt>
                <c:pt idx="1">
                  <c:v>33</c:v>
                </c:pt>
                <c:pt idx="2">
                  <c:v>24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F6-4596-A9AB-0A387E39E1D2}"/>
            </c:ext>
          </c:extLst>
        </c:ser>
        <c:ser>
          <c:idx val="4"/>
          <c:order val="4"/>
          <c:tx>
            <c:strRef>
              <c:f>Scores!$A$6</c:f>
              <c:strCache>
                <c:ptCount val="1"/>
                <c:pt idx="0">
                  <c:v>5. Below 0.65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5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Scores!$B$1:$E$1</c:f>
              <c:strCache>
                <c:ptCount val="4"/>
                <c:pt idx="0">
                  <c:v>Job_Count</c:v>
                </c:pt>
                <c:pt idx="1">
                  <c:v>Pct_of_Scored</c:v>
                </c:pt>
                <c:pt idx="2">
                  <c:v>APPLY_Count</c:v>
                </c:pt>
                <c:pt idx="3">
                  <c:v>SKIP_Count</c:v>
                </c:pt>
              </c:strCache>
            </c:strRef>
          </c:cat>
          <c:val>
            <c:numRef>
              <c:f>Scores!$B$6:$E$6</c:f>
              <c:numCache>
                <c:formatCode>General</c:formatCode>
                <c:ptCount val="4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F6-4596-A9AB-0A387E39E1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487609472"/>
        <c:axId val="1487632032"/>
        <c:axId val="0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Scores!$A$7</c15:sqref>
                        </c15:formulaRef>
                      </c:ext>
                    </c:extLst>
                    <c:strCache>
                      <c:ptCount val="1"/>
                      <c:pt idx="0">
                        <c:v>AVG_SCORE</c:v>
                      </c:pt>
                    </c:strCache>
                  </c:strRef>
                </c:tx>
                <c:spPr>
                  <a:solidFill>
                    <a:schemeClr val="accent6">
                      <a:alpha val="88000"/>
                    </a:schemeClr>
                  </a:solidFill>
                  <a:ln>
                    <a:solidFill>
                      <a:schemeClr val="accent6">
                        <a:lumMod val="50000"/>
                      </a:schemeClr>
                    </a:solidFill>
                  </a:ln>
                  <a:effectLst/>
                  <a:scene3d>
                    <a:camera prst="orthographicFront"/>
                    <a:lightRig rig="threePt" dir="t"/>
                  </a:scene3d>
                  <a:sp3d prstMaterial="flat">
                    <a:contourClr>
                      <a:schemeClr val="accent6">
                        <a:lumMod val="50000"/>
                      </a:schemeClr>
                    </a:contourClr>
                  </a:sp3d>
                </c:spPr>
                <c:invertIfNegative val="0"/>
                <c:dLbls>
                  <c:spPr>
                    <a:solidFill>
                      <a:srgbClr val="4EA72E">
                        <a:alpha val="30000"/>
                      </a:srgbClr>
                    </a:solidFill>
                    <a:ln>
                      <a:solidFill>
                        <a:sysClr val="window" lastClr="FFFFFF">
                          <a:alpha val="50000"/>
                        </a:sysClr>
                      </a:solidFill>
                      <a:round/>
                    </a:ln>
                    <a:effectLst>
                      <a:outerShdw blurRad="63500" dist="889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Scores!$B$1:$E$1</c15:sqref>
                        </c15:formulaRef>
                      </c:ext>
                    </c:extLst>
                    <c:strCache>
                      <c:ptCount val="4"/>
                      <c:pt idx="0">
                        <c:v>Job_Count</c:v>
                      </c:pt>
                      <c:pt idx="1">
                        <c:v>Pct_of_Scored</c:v>
                      </c:pt>
                      <c:pt idx="2">
                        <c:v>APPLY_Count</c:v>
                      </c:pt>
                      <c:pt idx="3">
                        <c:v>SKIP_Count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Scores!$B$7:$E$7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2">
                        <c:v>0.71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EF6-4596-A9AB-0A387E39E1D2}"/>
                  </c:ext>
                </c:extLst>
              </c15:ser>
            </c15:filteredBarSeries>
          </c:ext>
        </c:extLst>
      </c:bar3DChart>
      <c:catAx>
        <c:axId val="148760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32032"/>
        <c:crosses val="autoZero"/>
        <c:auto val="1"/>
        <c:lblAlgn val="ctr"/>
        <c:lblOffset val="100"/>
        <c:noMultiLvlLbl val="0"/>
      </c:catAx>
      <c:valAx>
        <c:axId val="1487632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760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Session Yeild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Sessions!$D$1</c:f>
              <c:strCache>
                <c:ptCount val="1"/>
                <c:pt idx="0">
                  <c:v>Jobs_Logged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Sessions!$D$2:$D$11</c:f>
              <c:numCache>
                <c:formatCode>General</c:formatCode>
                <c:ptCount val="10"/>
                <c:pt idx="0">
                  <c:v>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1-4B08-B2B9-024EE3C8B0A8}"/>
            </c:ext>
          </c:extLst>
        </c:ser>
        <c:ser>
          <c:idx val="1"/>
          <c:order val="1"/>
          <c:tx>
            <c:strRef>
              <c:f>Sessions!$E$1</c:f>
              <c:strCache>
                <c:ptCount val="1"/>
                <c:pt idx="0">
                  <c:v>Jobs_Moved_To_Scoring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Sessions!$E$2:$E$11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F1-4B08-B2B9-024EE3C8B0A8}"/>
            </c:ext>
          </c:extLst>
        </c:ser>
        <c:ser>
          <c:idx val="2"/>
          <c:order val="2"/>
          <c:tx>
            <c:strRef>
              <c:f>Sessions!$F$1</c:f>
              <c:strCache>
                <c:ptCount val="1"/>
                <c:pt idx="0">
                  <c:v>Jobs_Review_Later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Sessions!$F$2:$F$11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F1-4B08-B2B9-024EE3C8B0A8}"/>
            </c:ext>
          </c:extLst>
        </c:ser>
        <c:ser>
          <c:idx val="5"/>
          <c:order val="5"/>
          <c:tx>
            <c:strRef>
              <c:f>Sessions!$I$1</c:f>
              <c:strCache>
                <c:ptCount val="1"/>
                <c:pt idx="0">
                  <c:v>Proposals_Sent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F1-4B08-B2B9-024EE3C8B0A8}"/>
            </c:ext>
          </c:extLst>
        </c:ser>
        <c:ser>
          <c:idx val="6"/>
          <c:order val="6"/>
          <c:tx>
            <c:strRef>
              <c:f>Sessions!$J$1</c:f>
              <c:strCache>
                <c:ptCount val="1"/>
                <c:pt idx="0">
                  <c:v>Connects_Spent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Sessions!$B$2:$B$11</c:f>
              <c:numCache>
                <c:formatCode>m/d/yyyy</c:formatCode>
                <c:ptCount val="10"/>
                <c:pt idx="0">
                  <c:v>46112</c:v>
                </c:pt>
                <c:pt idx="1">
                  <c:v>46113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46120</c:v>
                </c:pt>
                <c:pt idx="8">
                  <c:v>46124</c:v>
                </c:pt>
                <c:pt idx="9">
                  <c:v>46125</c:v>
                </c:pt>
              </c:numCache>
            </c:numRef>
          </c:cat>
          <c:val>
            <c:numRef>
              <c:f>Sessions!$J$2:$J$11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21</c:v>
                </c:pt>
                <c:pt idx="8">
                  <c:v>20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F1-4B08-B2B9-024EE3C8B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042272"/>
        <c:axId val="167803507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Sessions!$G$1</c15:sqref>
                        </c15:formulaRef>
                      </c:ext>
                    </c:extLst>
                    <c:strCache>
                      <c:ptCount val="1"/>
                      <c:pt idx="0">
                        <c:v>Session_Yield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Sessions!$B$2:$B$11</c15:sqref>
                        </c15:formulaRef>
                      </c:ext>
                    </c:extLst>
                    <c:numCache>
                      <c:formatCode>m/d/yyyy</c:formatCode>
                      <c:ptCount val="10"/>
                      <c:pt idx="0">
                        <c:v>46112</c:v>
                      </c:pt>
                      <c:pt idx="1">
                        <c:v>46113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46118</c:v>
                      </c:pt>
                      <c:pt idx="5">
                        <c:v>46119</c:v>
                      </c:pt>
                      <c:pt idx="6">
                        <c:v>46120</c:v>
                      </c:pt>
                      <c:pt idx="7">
                        <c:v>46120</c:v>
                      </c:pt>
                      <c:pt idx="8">
                        <c:v>46124</c:v>
                      </c:pt>
                      <c:pt idx="9">
                        <c:v>46125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Sessions!$G$2:$G$11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8F1-4B08-B2B9-024EE3C8B0A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Sessions!$H$1</c15:sqref>
                        </c15:formulaRef>
                      </c:ext>
                    </c:extLst>
                    <c:strCache>
                      <c:ptCount val="1"/>
                      <c:pt idx="0">
                        <c:v>Saturation_Flag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Sessions!$B$2:$B$11</c15:sqref>
                        </c15:formulaRef>
                      </c:ext>
                    </c:extLst>
                    <c:numCache>
                      <c:formatCode>m/d/yyyy</c:formatCode>
                      <c:ptCount val="10"/>
                      <c:pt idx="0">
                        <c:v>46112</c:v>
                      </c:pt>
                      <c:pt idx="1">
                        <c:v>46113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46118</c:v>
                      </c:pt>
                      <c:pt idx="5">
                        <c:v>46119</c:v>
                      </c:pt>
                      <c:pt idx="6">
                        <c:v>46120</c:v>
                      </c:pt>
                      <c:pt idx="7">
                        <c:v>46120</c:v>
                      </c:pt>
                      <c:pt idx="8">
                        <c:v>46124</c:v>
                      </c:pt>
                      <c:pt idx="9">
                        <c:v>46125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Sessions!$H$2:$H$11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8F1-4B08-B2B9-024EE3C8B0A8}"/>
                  </c:ext>
                </c:extLst>
              </c15:ser>
            </c15:filteredLineSeries>
          </c:ext>
        </c:extLst>
      </c:lineChart>
      <c:dateAx>
        <c:axId val="167804227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35072"/>
        <c:crosses val="autoZero"/>
        <c:auto val="1"/>
        <c:lblOffset val="100"/>
        <c:baseTimeUnit val="days"/>
      </c:dateAx>
      <c:valAx>
        <c:axId val="16780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Proposals!$D$1</c:f>
              <c:strCache>
                <c:ptCount val="1"/>
                <c:pt idx="0">
                  <c:v>Proposals_Sent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Proposals!$A$2:$C$5</c:f>
              <c:multiLvlStrCache>
                <c:ptCount val="4"/>
                <c:lvl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</c:lvl>
                <c:lvl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</c:lvl>
                <c:lvl>
                  <c:pt idx="0">
                    <c:v>OVERALL</c:v>
                  </c:pt>
                  <c:pt idx="1">
                    <c:v>T1</c:v>
                  </c:pt>
                  <c:pt idx="2">
                    <c:v>T2</c:v>
                  </c:pt>
                  <c:pt idx="3">
                    <c:v>T3</c:v>
                  </c:pt>
                </c:lvl>
              </c:multiLvlStrCache>
            </c:multiLvlStrRef>
          </c:cat>
          <c:val>
            <c:numRef>
              <c:f>Proposals!$D$2:$D$5</c:f>
              <c:numCache>
                <c:formatCode>General</c:formatCode>
                <c:ptCount val="4"/>
                <c:pt idx="0">
                  <c:v>26</c:v>
                </c:pt>
                <c:pt idx="1">
                  <c:v>12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0-47F9-BBCA-637FF4CEC98D}"/>
            </c:ext>
          </c:extLst>
        </c:ser>
        <c:ser>
          <c:idx val="5"/>
          <c:order val="5"/>
          <c:tx>
            <c:strRef>
              <c:f>Proposals!$I$1</c:f>
              <c:strCache>
                <c:ptCount val="1"/>
                <c:pt idx="0">
                  <c:v>Reply_Rate_Pct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Proposals!$A$2:$C$5</c:f>
              <c:multiLvlStrCache>
                <c:ptCount val="4"/>
                <c:lvl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</c:lvl>
                <c:lvl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</c:lvl>
                <c:lvl>
                  <c:pt idx="0">
                    <c:v>OVERALL</c:v>
                  </c:pt>
                  <c:pt idx="1">
                    <c:v>T1</c:v>
                  </c:pt>
                  <c:pt idx="2">
                    <c:v>T2</c:v>
                  </c:pt>
                  <c:pt idx="3">
                    <c:v>T3</c:v>
                  </c:pt>
                </c:lvl>
              </c:multiLvlStrCache>
            </c:multiLvlStrRef>
          </c:cat>
          <c:val>
            <c:numRef>
              <c:f>Proposals!$I$2:$I$5</c:f>
              <c:numCache>
                <c:formatCode>General</c:formatCode>
                <c:ptCount val="4"/>
                <c:pt idx="0">
                  <c:v>3.8</c:v>
                </c:pt>
                <c:pt idx="1">
                  <c:v>8.3000000000000007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50-47F9-BBCA-637FF4CEC98D}"/>
            </c:ext>
          </c:extLst>
        </c:ser>
        <c:ser>
          <c:idx val="6"/>
          <c:order val="6"/>
          <c:tx>
            <c:strRef>
              <c:f>Proposals!$J$1</c:f>
              <c:strCache>
                <c:ptCount val="1"/>
                <c:pt idx="0">
                  <c:v>Interview_Rate_Pct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Proposals!$A$2:$C$5</c:f>
              <c:multiLvlStrCache>
                <c:ptCount val="4"/>
                <c:lvl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</c:lvl>
                <c:lvl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</c:lvl>
                <c:lvl>
                  <c:pt idx="0">
                    <c:v>OVERALL</c:v>
                  </c:pt>
                  <c:pt idx="1">
                    <c:v>T1</c:v>
                  </c:pt>
                  <c:pt idx="2">
                    <c:v>T2</c:v>
                  </c:pt>
                  <c:pt idx="3">
                    <c:v>T3</c:v>
                  </c:pt>
                </c:lvl>
              </c:multiLvlStrCache>
            </c:multiLvlStrRef>
          </c:cat>
          <c:val>
            <c:numRef>
              <c:f>Proposals!$J$2:$J$5</c:f>
              <c:numCache>
                <c:formatCode>General</c:formatCode>
                <c:ptCount val="4"/>
                <c:pt idx="0">
                  <c:v>3.8</c:v>
                </c:pt>
                <c:pt idx="1">
                  <c:v>8.3000000000000007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50-47F9-BBCA-637FF4CEC98D}"/>
            </c:ext>
          </c:extLst>
        </c:ser>
        <c:ser>
          <c:idx val="7"/>
          <c:order val="7"/>
          <c:tx>
            <c:strRef>
              <c:f>Proposals!$K$1</c:f>
              <c:strCache>
                <c:ptCount val="1"/>
                <c:pt idx="0">
                  <c:v>Hire_Rate_Pct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Proposals!$A$2:$C$5</c:f>
              <c:multiLvlStrCache>
                <c:ptCount val="4"/>
                <c:lvl>
                  <c:pt idx="1">
                    <c:v>A</c:v>
                  </c:pt>
                  <c:pt idx="2">
                    <c:v>A</c:v>
                  </c:pt>
                  <c:pt idx="3">
                    <c:v>B</c:v>
                  </c:pt>
                </c:lvl>
                <c:lvl>
                  <c:pt idx="1">
                    <c:v>A</c:v>
                  </c:pt>
                  <c:pt idx="2">
                    <c:v>B</c:v>
                  </c:pt>
                  <c:pt idx="3">
                    <c:v>C</c:v>
                  </c:pt>
                </c:lvl>
                <c:lvl>
                  <c:pt idx="0">
                    <c:v>OVERALL</c:v>
                  </c:pt>
                  <c:pt idx="1">
                    <c:v>T1</c:v>
                  </c:pt>
                  <c:pt idx="2">
                    <c:v>T2</c:v>
                  </c:pt>
                  <c:pt idx="3">
                    <c:v>T3</c:v>
                  </c:pt>
                </c:lvl>
              </c:multiLvlStrCache>
            </c:multiLvlStrRef>
          </c:cat>
          <c:val>
            <c:numRef>
              <c:f>Proposals!$K$2:$K$5</c:f>
              <c:numCache>
                <c:formatCode>General</c:formatCode>
                <c:ptCount val="4"/>
                <c:pt idx="0">
                  <c:v>3.8</c:v>
                </c:pt>
                <c:pt idx="1">
                  <c:v>8.3000000000000007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50-47F9-BBCA-637FF4CEC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2759552"/>
        <c:axId val="1312778272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Proposals!$E$1</c15:sqref>
                        </c15:formulaRef>
                      </c:ext>
                    </c:extLst>
                    <c:strCache>
                      <c:ptCount val="1"/>
                      <c:pt idx="0">
                        <c:v>Avg_Connects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Proposals!$A$2:$C$5</c15:sqref>
                        </c15:formulaRef>
                      </c:ext>
                    </c:extLst>
                    <c:multiLvlStrCache>
                      <c:ptCount val="4"/>
                      <c:lvl>
                        <c:pt idx="1">
                          <c:v>A</c:v>
                        </c:pt>
                        <c:pt idx="2">
                          <c:v>A</c:v>
                        </c:pt>
                        <c:pt idx="3">
                          <c:v>B</c:v>
                        </c:pt>
                      </c:lvl>
                      <c:lvl>
                        <c:pt idx="1">
                          <c:v>A</c:v>
                        </c:pt>
                        <c:pt idx="2">
                          <c:v>B</c:v>
                        </c:pt>
                        <c:pt idx="3">
                          <c:v>C</c:v>
                        </c:pt>
                      </c:lvl>
                      <c:lvl>
                        <c:pt idx="0">
                          <c:v>OVERALL</c:v>
                        </c:pt>
                        <c:pt idx="1">
                          <c:v>T1</c:v>
                        </c:pt>
                        <c:pt idx="2">
                          <c:v>T2</c:v>
                        </c:pt>
                        <c:pt idx="3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Proposals!$E$2:$E$5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11.3</c:v>
                      </c:pt>
                      <c:pt idx="1">
                        <c:v>12.2</c:v>
                      </c:pt>
                      <c:pt idx="2">
                        <c:v>10</c:v>
                      </c:pt>
                      <c:pt idx="3">
                        <c:v>11.1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D50-47F9-BBCA-637FF4CEC98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Proposals!$F$1</c15:sqref>
                        </c15:formulaRef>
                      </c:ext>
                    </c:extLst>
                    <c:strCache>
                      <c:ptCount val="1"/>
                      <c:pt idx="0">
                        <c:v>Replies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Proposals!$A$2:$C$5</c15:sqref>
                        </c15:formulaRef>
                      </c:ext>
                    </c:extLst>
                    <c:multiLvlStrCache>
                      <c:ptCount val="4"/>
                      <c:lvl>
                        <c:pt idx="1">
                          <c:v>A</c:v>
                        </c:pt>
                        <c:pt idx="2">
                          <c:v>A</c:v>
                        </c:pt>
                        <c:pt idx="3">
                          <c:v>B</c:v>
                        </c:pt>
                      </c:lvl>
                      <c:lvl>
                        <c:pt idx="1">
                          <c:v>A</c:v>
                        </c:pt>
                        <c:pt idx="2">
                          <c:v>B</c:v>
                        </c:pt>
                        <c:pt idx="3">
                          <c:v>C</c:v>
                        </c:pt>
                      </c:lvl>
                      <c:lvl>
                        <c:pt idx="0">
                          <c:v>OVERALL</c:v>
                        </c:pt>
                        <c:pt idx="1">
                          <c:v>T1</c:v>
                        </c:pt>
                        <c:pt idx="2">
                          <c:v>T2</c:v>
                        </c:pt>
                        <c:pt idx="3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Proposals!$F$2:$F$5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D50-47F9-BBCA-637FF4CEC98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Proposals!$G$1</c15:sqref>
                        </c15:formulaRef>
                      </c:ext>
                    </c:extLst>
                    <c:strCache>
                      <c:ptCount val="1"/>
                      <c:pt idx="0">
                        <c:v>Interviews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Proposals!$A$2:$C$5</c15:sqref>
                        </c15:formulaRef>
                      </c:ext>
                    </c:extLst>
                    <c:multiLvlStrCache>
                      <c:ptCount val="4"/>
                      <c:lvl>
                        <c:pt idx="1">
                          <c:v>A</c:v>
                        </c:pt>
                        <c:pt idx="2">
                          <c:v>A</c:v>
                        </c:pt>
                        <c:pt idx="3">
                          <c:v>B</c:v>
                        </c:pt>
                      </c:lvl>
                      <c:lvl>
                        <c:pt idx="1">
                          <c:v>A</c:v>
                        </c:pt>
                        <c:pt idx="2">
                          <c:v>B</c:v>
                        </c:pt>
                        <c:pt idx="3">
                          <c:v>C</c:v>
                        </c:pt>
                      </c:lvl>
                      <c:lvl>
                        <c:pt idx="0">
                          <c:v>OVERALL</c:v>
                        </c:pt>
                        <c:pt idx="1">
                          <c:v>T1</c:v>
                        </c:pt>
                        <c:pt idx="2">
                          <c:v>T2</c:v>
                        </c:pt>
                        <c:pt idx="3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Proposals!$G$2:$G$5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D50-47F9-BBCA-637FF4CEC98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Proposals!$H$1</c15:sqref>
                        </c15:formulaRef>
                      </c:ext>
                    </c:extLst>
                    <c:strCache>
                      <c:ptCount val="1"/>
                      <c:pt idx="0">
                        <c:v>Hires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Proposals!$A$2:$C$5</c15:sqref>
                        </c15:formulaRef>
                      </c:ext>
                    </c:extLst>
                    <c:multiLvlStrCache>
                      <c:ptCount val="4"/>
                      <c:lvl>
                        <c:pt idx="1">
                          <c:v>A</c:v>
                        </c:pt>
                        <c:pt idx="2">
                          <c:v>A</c:v>
                        </c:pt>
                        <c:pt idx="3">
                          <c:v>B</c:v>
                        </c:pt>
                      </c:lvl>
                      <c:lvl>
                        <c:pt idx="1">
                          <c:v>A</c:v>
                        </c:pt>
                        <c:pt idx="2">
                          <c:v>B</c:v>
                        </c:pt>
                        <c:pt idx="3">
                          <c:v>C</c:v>
                        </c:pt>
                      </c:lvl>
                      <c:lvl>
                        <c:pt idx="0">
                          <c:v>OVERALL</c:v>
                        </c:pt>
                        <c:pt idx="1">
                          <c:v>T1</c:v>
                        </c:pt>
                        <c:pt idx="2">
                          <c:v>T2</c:v>
                        </c:pt>
                        <c:pt idx="3">
                          <c:v>T3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Proposals!$H$2:$H$5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FD50-47F9-BBCA-637FF4CEC98D}"/>
                  </c:ext>
                </c:extLst>
              </c15:ser>
            </c15:filteredBarSeries>
          </c:ext>
        </c:extLst>
      </c:bar3DChart>
      <c:catAx>
        <c:axId val="13127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78272"/>
        <c:crosses val="autoZero"/>
        <c:auto val="1"/>
        <c:lblAlgn val="ctr"/>
        <c:lblOffset val="100"/>
        <c:noMultiLvlLbl val="0"/>
      </c:catAx>
      <c:valAx>
        <c:axId val="13127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17927499625536"/>
          <c:y val="0.2734179950067217"/>
          <c:w val="0.46198111058902708"/>
          <c:h val="0.60056041013166039"/>
        </c:manualLayout>
      </c:layout>
      <c:pieChart>
        <c:varyColors val="1"/>
        <c:ser>
          <c:idx val="1"/>
          <c:order val="1"/>
          <c:tx>
            <c:strRef>
              <c:f>Complexity!$C$1</c:f>
              <c:strCache>
                <c:ptCount val="1"/>
                <c:pt idx="0">
                  <c:v>Pct_of_Total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Complexity!$A$2:$A$5</c:f>
              <c:strCache>
                <c:ptCount val="4"/>
                <c:pt idx="0">
                  <c:v>Large</c:v>
                </c:pt>
                <c:pt idx="1">
                  <c:v>Normal</c:v>
                </c:pt>
                <c:pt idx="2">
                  <c:v>Complex</c:v>
                </c:pt>
                <c:pt idx="3">
                  <c:v>Simple</c:v>
                </c:pt>
              </c:strCache>
            </c:strRef>
          </c:cat>
          <c:val>
            <c:numRef>
              <c:f>Complexity!$C$2:$C$5</c:f>
              <c:numCache>
                <c:formatCode>0.0"%"</c:formatCode>
                <c:ptCount val="4"/>
                <c:pt idx="0">
                  <c:v>44.5</c:v>
                </c:pt>
                <c:pt idx="1">
                  <c:v>26.8</c:v>
                </c:pt>
                <c:pt idx="2">
                  <c:v>23.9</c:v>
                </c:pt>
                <c:pt idx="3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C-4262-A0FD-C5E63C799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Complexity!$B$1</c15:sqref>
                        </c15:formulaRef>
                      </c:ext>
                    </c:extLst>
                    <c:strCache>
                      <c:ptCount val="1"/>
                      <c:pt idx="0">
                        <c:v>Job_Count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Complexity!$A$2:$A$5</c15:sqref>
                        </c15:formulaRef>
                      </c:ext>
                    </c:extLst>
                    <c:strCache>
                      <c:ptCount val="4"/>
                      <c:pt idx="0">
                        <c:v>Large</c:v>
                      </c:pt>
                      <c:pt idx="1">
                        <c:v>Normal</c:v>
                      </c:pt>
                      <c:pt idx="2">
                        <c:v>Complex</c:v>
                      </c:pt>
                      <c:pt idx="3">
                        <c:v>Simple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Complexity!$B$2:$B$5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93</c:v>
                      </c:pt>
                      <c:pt idx="1">
                        <c:v>56</c:v>
                      </c:pt>
                      <c:pt idx="2">
                        <c:v>50</c:v>
                      </c:pt>
                      <c:pt idx="3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5FC-4262-A0FD-C5E63C799E3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673608788521077"/>
          <c:y val="0.28908333866803237"/>
          <c:w val="0.23500142604177995"/>
          <c:h val="0.5271996208807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Costs!$D$2</c:f>
              <c:strCache>
                <c:ptCount val="1"/>
                <c:pt idx="0">
                  <c:v>Projected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Costs!$E$2</c:f>
              <c:numCache>
                <c:formatCode>General</c:formatCode>
                <c:ptCount val="1"/>
                <c:pt idx="0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6-4701-B96A-5A34A26FD22B}"/>
            </c:ext>
          </c:extLst>
        </c:ser>
        <c:ser>
          <c:idx val="1"/>
          <c:order val="1"/>
          <c:tx>
            <c:strRef>
              <c:f>Costs!$D$3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Costs!$E$3</c:f>
              <c:numCache>
                <c:formatCode>General</c:formatCode>
                <c:ptCount val="1"/>
                <c:pt idx="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6-4701-B96A-5A34A26F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081664"/>
        <c:axId val="1624082144"/>
        <c:axId val="0"/>
      </c:bar3DChart>
      <c:catAx>
        <c:axId val="162408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82144"/>
        <c:crosses val="autoZero"/>
        <c:auto val="1"/>
        <c:lblAlgn val="ctr"/>
        <c:lblOffset val="100"/>
        <c:noMultiLvlLbl val="0"/>
      </c:catAx>
      <c:valAx>
        <c:axId val="162408214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08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r>
              <a:rPr lang="en-US" sz="1400" b="1" i="0" u="none" strike="noStrike" kern="1200" cap="all" spc="100" normalizeH="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" panose="02060603020205020403" pitchFamily="18" charset="0"/>
                <a:ea typeface="+mn-ea"/>
                <a:cs typeface="+mn-cs"/>
              </a:rPr>
              <a:t>DISCOVERY</a:t>
            </a:r>
            <a:r>
              <a:rPr lang="en-US" sz="1600" b="1" i="0" u="none" strike="noStrike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Rockwell Condensed" panose="02060603050405020104" pitchFamily="18" charset="0"/>
              </a:rPr>
              <a:t> FUNNEL</a:t>
            </a:r>
          </a:p>
        </cx:rich>
      </cx:tx>
    </cx:title>
    <cx:plotArea>
      <cx:plotAreaRegion>
        <cx:series layoutId="funnel" uniqueId="{06FCADCB-4974-4F77-B75C-E37776CFF36C}" formatIdx="0">
          <cx:tx>
            <cx:txData>
              <cx:f>_xlchart.v2.1</cx:f>
              <cx:v>Job_Count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aseline="0">
                    <a:solidFill>
                      <a:schemeClr val="bg1"/>
                    </a:solidFill>
                    <a:latin typeface="Rockwell Condensed" panose="02060603050405020104" pitchFamily="18" charset="0"/>
                  </a:defRPr>
                </a:pPr>
                <a:endParaRPr lang="en-US" sz="1200" b="0" i="0" u="none" strike="noStrike" baseline="0">
                  <a:solidFill>
                    <a:schemeClr val="bg1"/>
                  </a:solidFill>
                  <a:latin typeface="Rockwell Condensed" panose="02060603050405020104" pitchFamily="18" charset="0"/>
                </a:endParaRPr>
              </a:p>
            </cx:txPr>
            <cx:visibility seriesName="0" categoryName="0" value="1"/>
          </cx:dataLabels>
          <cx:dataId val="0"/>
        </cx:series>
        <cx:series layoutId="funnel" hidden="1" uniqueId="{6E6FCC77-FCB2-408A-B811-8E39CB18EEF4}" formatIdx="1">
          <cx:tx>
            <cx:txData>
              <cx:f>_xlchart.v2.3</cx:f>
              <cx:v>Pct_of_Discovered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>
                <a:latin typeface="Rockwell" panose="02060603020205020403" pitchFamily="18" charset="0"/>
                <a:ea typeface="Rockwell" panose="02060603020205020403" pitchFamily="18" charset="0"/>
                <a:cs typeface="Rockwell" panose="02060603020205020403" pitchFamily="18" charset="0"/>
              </a:defRPr>
            </a:pPr>
            <a:endParaRPr lang="en-US" sz="800" b="0" i="0" u="none" strike="noStrike" baseline="0">
              <a:solidFill>
                <a:sysClr val="window" lastClr="FFFFFF">
                  <a:lumMod val="95000"/>
                </a:sysClr>
              </a:solidFill>
              <a:latin typeface="Rockwell" panose="02060603020205020403" pitchFamily="18" charset="0"/>
            </a:endParaRPr>
          </a:p>
        </cx:txPr>
      </cx:axis>
    </cx:plotArea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_xlchart.v2.7</cx:f>
      </cx:numDim>
    </cx:data>
    <cx:data id="1">
      <cx:strDim type="cat">
        <cx:f>_xlchart.v2.5</cx:f>
      </cx:strDim>
      <cx:numDim type="val">
        <cx:f>_xlchart.v2.9</cx:f>
      </cx:numDim>
    </cx:data>
  </cx:chartData>
  <cx:chart>
    <cx:title pos="t" align="ctr" overlay="0">
      <cx:tx>
        <cx:txData>
          <cx:v>Discovery Funnel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Discovery Funnel </a:t>
          </a:r>
        </a:p>
      </cx:txPr>
    </cx:title>
    <cx:plotArea>
      <cx:plotAreaRegion>
        <cx:series layoutId="funnel" uniqueId="{06FCADCB-4974-4F77-B75C-E37776CFF36C}" formatIdx="0">
          <cx:tx>
            <cx:txData>
              <cx:f>_xlchart.v2.6</cx:f>
              <cx:v>Job_Count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aseline="0">
                    <a:solidFill>
                      <a:schemeClr val="bg1"/>
                    </a:solidFill>
                    <a:latin typeface="Rockwell Condensed" panose="02060603050405020104" pitchFamily="18" charset="0"/>
                  </a:defRPr>
                </a:pPr>
                <a:endParaRPr lang="en-US" sz="1200" b="0" i="0" u="none" strike="noStrike" baseline="0">
                  <a:solidFill>
                    <a:schemeClr val="bg1"/>
                  </a:solidFill>
                  <a:latin typeface="Rockwell Condensed" panose="02060603050405020104" pitchFamily="18" charset="0"/>
                </a:endParaRPr>
              </a:p>
            </cx:txPr>
            <cx:visibility seriesName="0" categoryName="0" value="1"/>
          </cx:dataLabels>
          <cx:dataId val="0"/>
        </cx:series>
        <cx:series layoutId="funnel" hidden="1" uniqueId="{6E6FCC77-FCB2-408A-B811-8E39CB18EEF4}" formatIdx="1">
          <cx:tx>
            <cx:txData>
              <cx:f>_xlchart.v2.8</cx:f>
              <cx:v>Pct_of_Discovered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5"/>
        <cx:tickLabels/>
      </cx:axis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99482</xdr:rowOff>
    </xdr:from>
    <xdr:to>
      <xdr:col>8</xdr:col>
      <xdr:colOff>514350</xdr:colOff>
      <xdr:row>21</xdr:row>
      <xdr:rowOff>61383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C8431B9-C596-4023-A554-A12A0A42F298}"/>
            </a:ext>
          </a:extLst>
        </xdr:cNvPr>
        <xdr:cNvSpPr/>
      </xdr:nvSpPr>
      <xdr:spPr>
        <a:xfrm>
          <a:off x="66675" y="1623482"/>
          <a:ext cx="5324475" cy="2438401"/>
        </a:xfrm>
        <a:prstGeom prst="roundRect">
          <a:avLst>
            <a:gd name="adj" fmla="val 22358"/>
          </a:avLst>
        </a:prstGeom>
        <a:solidFill>
          <a:schemeClr val="tx1">
            <a:lumMod val="95000"/>
            <a:lumOff val="5000"/>
            <a:alpha val="97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271819</xdr:colOff>
      <xdr:row>1</xdr:row>
      <xdr:rowOff>156633</xdr:rowOff>
    </xdr:from>
    <xdr:to>
      <xdr:col>8</xdr:col>
      <xdr:colOff>273002</xdr:colOff>
      <xdr:row>14</xdr:row>
      <xdr:rowOff>80433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9B95F51-E7CC-4DAE-9E54-4A6AC0A7631E}"/>
            </a:ext>
          </a:extLst>
        </xdr:cNvPr>
        <xdr:cNvSpPr/>
      </xdr:nvSpPr>
      <xdr:spPr>
        <a:xfrm>
          <a:off x="271819" y="347133"/>
          <a:ext cx="4877983" cy="2400300"/>
        </a:xfrm>
        <a:prstGeom prst="roundRect">
          <a:avLst>
            <a:gd name="adj" fmla="val 22358"/>
          </a:avLst>
        </a:prstGeom>
        <a:gradFill>
          <a:gsLst>
            <a:gs pos="26000">
              <a:schemeClr val="tx2">
                <a:lumMod val="75000"/>
                <a:lumOff val="25000"/>
                <a:alpha val="95000"/>
              </a:schemeClr>
            </a:gs>
            <a:gs pos="48000">
              <a:schemeClr val="tx2">
                <a:lumMod val="90000"/>
                <a:lumOff val="10000"/>
                <a:alpha val="95000"/>
              </a:schemeClr>
            </a:gs>
            <a:gs pos="55000">
              <a:schemeClr val="tx1">
                <a:alpha val="97000"/>
                <a:lumMod val="92000"/>
                <a:lumOff val="8000"/>
              </a:scheme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25398</xdr:colOff>
      <xdr:row>5</xdr:row>
      <xdr:rowOff>175682</xdr:rowOff>
    </xdr:from>
    <xdr:to>
      <xdr:col>17</xdr:col>
      <xdr:colOff>476249</xdr:colOff>
      <xdr:row>21</xdr:row>
      <xdr:rowOff>95249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59ABED32-B865-4B75-90BD-45A9B1002D68}"/>
            </a:ext>
          </a:extLst>
        </xdr:cNvPr>
        <xdr:cNvSpPr/>
      </xdr:nvSpPr>
      <xdr:spPr>
        <a:xfrm>
          <a:off x="5511798" y="1128182"/>
          <a:ext cx="5327651" cy="2967567"/>
        </a:xfrm>
        <a:prstGeom prst="roundRect">
          <a:avLst>
            <a:gd name="adj" fmla="val 22358"/>
          </a:avLst>
        </a:prstGeom>
        <a:solidFill>
          <a:schemeClr val="tx1">
            <a:lumMod val="95000"/>
            <a:lumOff val="5000"/>
            <a:alpha val="97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301623</xdr:colOff>
      <xdr:row>2</xdr:row>
      <xdr:rowOff>19049</xdr:rowOff>
    </xdr:from>
    <xdr:to>
      <xdr:col>17</xdr:col>
      <xdr:colOff>276224</xdr:colOff>
      <xdr:row>14</xdr:row>
      <xdr:rowOff>85724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6B340D4E-18E9-4037-ADF5-ABF978F7D228}"/>
            </a:ext>
          </a:extLst>
        </xdr:cNvPr>
        <xdr:cNvSpPr/>
      </xdr:nvSpPr>
      <xdr:spPr>
        <a:xfrm>
          <a:off x="5788023" y="400049"/>
          <a:ext cx="4851401" cy="2352675"/>
        </a:xfrm>
        <a:prstGeom prst="roundRect">
          <a:avLst>
            <a:gd name="adj" fmla="val 22358"/>
          </a:avLst>
        </a:prstGeom>
        <a:gradFill>
          <a:gsLst>
            <a:gs pos="12000">
              <a:schemeClr val="tx2">
                <a:lumMod val="75000"/>
                <a:lumOff val="25000"/>
                <a:alpha val="95000"/>
              </a:schemeClr>
            </a:gs>
            <a:gs pos="33000">
              <a:schemeClr val="tx2">
                <a:lumMod val="90000"/>
                <a:lumOff val="10000"/>
                <a:alpha val="95000"/>
              </a:schemeClr>
            </a:gs>
            <a:gs pos="41000">
              <a:schemeClr val="tx1">
                <a:alpha val="97000"/>
                <a:lumMod val="92000"/>
                <a:lumOff val="8000"/>
              </a:scheme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79377</xdr:colOff>
      <xdr:row>9</xdr:row>
      <xdr:rowOff>13758</xdr:rowOff>
    </xdr:from>
    <xdr:to>
      <xdr:col>5</xdr:col>
      <xdr:colOff>66675</xdr:colOff>
      <xdr:row>20</xdr:row>
      <xdr:rowOff>95250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0D7B4072-5FF4-4927-8F95-ED61DB12DC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77" y="1728258"/>
              <a:ext cx="3035298" cy="21769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342900</xdr:colOff>
      <xdr:row>9</xdr:row>
      <xdr:rowOff>57151</xdr:rowOff>
    </xdr:from>
    <xdr:to>
      <xdr:col>8</xdr:col>
      <xdr:colOff>476249</xdr:colOff>
      <xdr:row>20</xdr:row>
      <xdr:rowOff>118533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2C8B208-4ED8-4863-8899-7B8611E90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520701</xdr:colOff>
      <xdr:row>6</xdr:row>
      <xdr:rowOff>48683</xdr:rowOff>
    </xdr:from>
    <xdr:to>
      <xdr:col>14</xdr:col>
      <xdr:colOff>323850</xdr:colOff>
      <xdr:row>20</xdr:row>
      <xdr:rowOff>101601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281C6E3-379C-47C0-AB4B-6DF9B3394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12704</xdr:colOff>
      <xdr:row>0</xdr:row>
      <xdr:rowOff>70378</xdr:rowOff>
    </xdr:from>
    <xdr:to>
      <xdr:col>2</xdr:col>
      <xdr:colOff>254000</xdr:colOff>
      <xdr:row>3</xdr:row>
      <xdr:rowOff>70378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5E1BD019-7F17-4F8F-B17E-0DFB712859C4}"/>
            </a:ext>
          </a:extLst>
        </xdr:cNvPr>
        <xdr:cNvSpPr/>
      </xdr:nvSpPr>
      <xdr:spPr>
        <a:xfrm>
          <a:off x="622304" y="70378"/>
          <a:ext cx="850896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433214</xdr:colOff>
      <xdr:row>0</xdr:row>
      <xdr:rowOff>70378</xdr:rowOff>
    </xdr:from>
    <xdr:to>
      <xdr:col>4</xdr:col>
      <xdr:colOff>60678</xdr:colOff>
      <xdr:row>3</xdr:row>
      <xdr:rowOff>70378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D3CB5DC5-7621-4BA2-A742-09C404D96338}"/>
            </a:ext>
          </a:extLst>
        </xdr:cNvPr>
        <xdr:cNvSpPr/>
      </xdr:nvSpPr>
      <xdr:spPr>
        <a:xfrm>
          <a:off x="1652414" y="70378"/>
          <a:ext cx="846664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316092</xdr:colOff>
      <xdr:row>0</xdr:row>
      <xdr:rowOff>70378</xdr:rowOff>
    </xdr:from>
    <xdr:to>
      <xdr:col>5</xdr:col>
      <xdr:colOff>557388</xdr:colOff>
      <xdr:row>3</xdr:row>
      <xdr:rowOff>70378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08B820B3-5FE1-4903-A481-6C458569BA8F}"/>
            </a:ext>
          </a:extLst>
        </xdr:cNvPr>
        <xdr:cNvSpPr/>
      </xdr:nvSpPr>
      <xdr:spPr>
        <a:xfrm>
          <a:off x="2754492" y="70378"/>
          <a:ext cx="850896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218019</xdr:colOff>
      <xdr:row>0</xdr:row>
      <xdr:rowOff>70378</xdr:rowOff>
    </xdr:from>
    <xdr:to>
      <xdr:col>7</xdr:col>
      <xdr:colOff>459316</xdr:colOff>
      <xdr:row>3</xdr:row>
      <xdr:rowOff>70378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56B3C3D5-B76F-437E-AA26-0DB70B77E8B8}"/>
            </a:ext>
          </a:extLst>
        </xdr:cNvPr>
        <xdr:cNvSpPr/>
      </xdr:nvSpPr>
      <xdr:spPr>
        <a:xfrm>
          <a:off x="3875619" y="70378"/>
          <a:ext cx="850897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64560</xdr:colOff>
      <xdr:row>0</xdr:row>
      <xdr:rowOff>101070</xdr:rowOff>
    </xdr:from>
    <xdr:to>
      <xdr:col>2</xdr:col>
      <xdr:colOff>202142</xdr:colOff>
      <xdr:row>3</xdr:row>
      <xdr:rowOff>26987</xdr:rowOff>
    </xdr:to>
    <xdr:sp macro="" textlink="Funnel!B2">
      <xdr:nvSpPr>
        <xdr:cNvPr id="63" name="TextBox 62">
          <a:extLst>
            <a:ext uri="{FF2B5EF4-FFF2-40B4-BE49-F238E27FC236}">
              <a16:creationId xmlns:a16="http://schemas.microsoft.com/office/drawing/2014/main" id="{8CD4F527-EDBB-5BCE-EBC6-FC9C5D9382BF}"/>
            </a:ext>
          </a:extLst>
        </xdr:cNvPr>
        <xdr:cNvSpPr txBox="1"/>
      </xdr:nvSpPr>
      <xdr:spPr>
        <a:xfrm>
          <a:off x="674160" y="101070"/>
          <a:ext cx="747182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fld id="{9E6A63DB-9A94-428E-84A4-20C4C4EDE678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</a:rPr>
            <a:pPr/>
            <a:t>209</a:t>
          </a:fld>
          <a:endParaRPr lang="en-US" sz="3600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</a:endParaRPr>
        </a:p>
      </xdr:txBody>
    </xdr:sp>
    <xdr:clientData/>
  </xdr:twoCellAnchor>
  <xdr:twoCellAnchor>
    <xdr:from>
      <xdr:col>2</xdr:col>
      <xdr:colOff>466020</xdr:colOff>
      <xdr:row>0</xdr:row>
      <xdr:rowOff>101070</xdr:rowOff>
    </xdr:from>
    <xdr:to>
      <xdr:col>3</xdr:col>
      <xdr:colOff>599370</xdr:colOff>
      <xdr:row>3</xdr:row>
      <xdr:rowOff>26987</xdr:rowOff>
    </xdr:to>
    <xdr:sp macro="" textlink="Funnel!B3">
      <xdr:nvSpPr>
        <xdr:cNvPr id="78" name="TextBox 77">
          <a:extLst>
            <a:ext uri="{FF2B5EF4-FFF2-40B4-BE49-F238E27FC236}">
              <a16:creationId xmlns:a16="http://schemas.microsoft.com/office/drawing/2014/main" id="{687E5EA5-C32A-4940-A793-01EE35467129}"/>
            </a:ext>
          </a:extLst>
        </xdr:cNvPr>
        <xdr:cNvSpPr txBox="1"/>
      </xdr:nvSpPr>
      <xdr:spPr>
        <a:xfrm>
          <a:off x="1685220" y="101070"/>
          <a:ext cx="742950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0F705F31-FCA0-4BDF-833B-6591DE0D4990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100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377473</xdr:colOff>
      <xdr:row>0</xdr:row>
      <xdr:rowOff>101070</xdr:rowOff>
    </xdr:from>
    <xdr:to>
      <xdr:col>5</xdr:col>
      <xdr:colOff>515055</xdr:colOff>
      <xdr:row>3</xdr:row>
      <xdr:rowOff>26987</xdr:rowOff>
    </xdr:to>
    <xdr:sp macro="" textlink="Funnel!B4">
      <xdr:nvSpPr>
        <xdr:cNvPr id="79" name="TextBox 78">
          <a:extLst>
            <a:ext uri="{FF2B5EF4-FFF2-40B4-BE49-F238E27FC236}">
              <a16:creationId xmlns:a16="http://schemas.microsoft.com/office/drawing/2014/main" id="{61E0D8BF-CFEC-424E-AC10-5D5184AE5E59}"/>
            </a:ext>
          </a:extLst>
        </xdr:cNvPr>
        <xdr:cNvSpPr txBox="1"/>
      </xdr:nvSpPr>
      <xdr:spPr>
        <a:xfrm>
          <a:off x="2815873" y="101070"/>
          <a:ext cx="747182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42A649F6-97A4-4296-A594-81405668E573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64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260349</xdr:colOff>
      <xdr:row>0</xdr:row>
      <xdr:rowOff>101070</xdr:rowOff>
    </xdr:from>
    <xdr:to>
      <xdr:col>7</xdr:col>
      <xdr:colOff>397932</xdr:colOff>
      <xdr:row>3</xdr:row>
      <xdr:rowOff>26987</xdr:rowOff>
    </xdr:to>
    <xdr:sp macro="" textlink="Funnel!B5">
      <xdr:nvSpPr>
        <xdr:cNvPr id="80" name="TextBox 79">
          <a:extLst>
            <a:ext uri="{FF2B5EF4-FFF2-40B4-BE49-F238E27FC236}">
              <a16:creationId xmlns:a16="http://schemas.microsoft.com/office/drawing/2014/main" id="{F3DF4119-2A33-4883-B732-BB332B4FF48E}"/>
            </a:ext>
          </a:extLst>
        </xdr:cNvPr>
        <xdr:cNvSpPr txBox="1"/>
      </xdr:nvSpPr>
      <xdr:spPr>
        <a:xfrm>
          <a:off x="3917949" y="101070"/>
          <a:ext cx="747183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ECAC132D-C33E-4E9A-B6F2-B15FB623A0A3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25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3</xdr:row>
      <xdr:rowOff>105835</xdr:rowOff>
    </xdr:from>
    <xdr:to>
      <xdr:col>2</xdr:col>
      <xdr:colOff>264585</xdr:colOff>
      <xdr:row>4</xdr:row>
      <xdr:rowOff>84668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B8F13EA-6A77-44A3-6540-6F0328DFD538}"/>
            </a:ext>
          </a:extLst>
        </xdr:cNvPr>
        <xdr:cNvSpPr txBox="1"/>
      </xdr:nvSpPr>
      <xdr:spPr>
        <a:xfrm>
          <a:off x="609601" y="677335"/>
          <a:ext cx="874184" cy="169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Discovered</a:t>
          </a:r>
        </a:p>
      </xdr:txBody>
    </xdr:sp>
    <xdr:clientData/>
  </xdr:twoCellAnchor>
  <xdr:twoCellAnchor>
    <xdr:from>
      <xdr:col>2</xdr:col>
      <xdr:colOff>201082</xdr:colOff>
      <xdr:row>3</xdr:row>
      <xdr:rowOff>113243</xdr:rowOff>
    </xdr:from>
    <xdr:to>
      <xdr:col>4</xdr:col>
      <xdr:colOff>205318</xdr:colOff>
      <xdr:row>4</xdr:row>
      <xdr:rowOff>77259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CCB537F-F25D-442F-BA73-1E479B4ED7A5}"/>
            </a:ext>
          </a:extLst>
        </xdr:cNvPr>
        <xdr:cNvSpPr txBox="1"/>
      </xdr:nvSpPr>
      <xdr:spPr>
        <a:xfrm>
          <a:off x="1420282" y="684743"/>
          <a:ext cx="1223436" cy="1545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Moved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to Scoring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4</xdr:col>
      <xdr:colOff>201086</xdr:colOff>
      <xdr:row>3</xdr:row>
      <xdr:rowOff>104777</xdr:rowOff>
    </xdr:from>
    <xdr:to>
      <xdr:col>6</xdr:col>
      <xdr:colOff>86784</xdr:colOff>
      <xdr:row>4</xdr:row>
      <xdr:rowOff>85726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3A91D8C-ADF9-416E-A3C7-F9357BCBB426}"/>
            </a:ext>
          </a:extLst>
        </xdr:cNvPr>
        <xdr:cNvSpPr txBox="1"/>
      </xdr:nvSpPr>
      <xdr:spPr>
        <a:xfrm>
          <a:off x="2639486" y="676277"/>
          <a:ext cx="1104898" cy="171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APPLY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Decision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6</xdr:col>
      <xdr:colOff>114300</xdr:colOff>
      <xdr:row>3</xdr:row>
      <xdr:rowOff>112185</xdr:rowOff>
    </xdr:from>
    <xdr:to>
      <xdr:col>7</xdr:col>
      <xdr:colOff>552449</xdr:colOff>
      <xdr:row>4</xdr:row>
      <xdr:rowOff>78318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11A38A0-49C3-43A6-A37F-2469A4A4704D}"/>
            </a:ext>
          </a:extLst>
        </xdr:cNvPr>
        <xdr:cNvSpPr txBox="1"/>
      </xdr:nvSpPr>
      <xdr:spPr>
        <a:xfrm>
          <a:off x="3771900" y="683685"/>
          <a:ext cx="1047749" cy="156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Proposals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Sent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1</xdr:col>
      <xdr:colOff>169333</xdr:colOff>
      <xdr:row>4</xdr:row>
      <xdr:rowOff>145522</xdr:rowOff>
    </xdr:from>
    <xdr:to>
      <xdr:col>2</xdr:col>
      <xdr:colOff>4233</xdr:colOff>
      <xdr:row>6</xdr:row>
      <xdr:rowOff>156105</xdr:rowOff>
    </xdr:to>
    <xdr:sp macro="" textlink="Sessions!K2">
      <xdr:nvSpPr>
        <xdr:cNvPr id="85" name="TextBox 84">
          <a:extLst>
            <a:ext uri="{FF2B5EF4-FFF2-40B4-BE49-F238E27FC236}">
              <a16:creationId xmlns:a16="http://schemas.microsoft.com/office/drawing/2014/main" id="{B8D78D19-7986-C0F8-A410-EFF30B4A7FC0}"/>
            </a:ext>
          </a:extLst>
        </xdr:cNvPr>
        <xdr:cNvSpPr txBox="1"/>
      </xdr:nvSpPr>
      <xdr:spPr>
        <a:xfrm>
          <a:off x="778933" y="907522"/>
          <a:ext cx="444500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53337995-EF8D-49F6-BC9F-18528FCBA7D5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10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0</xdr:colOff>
      <xdr:row>6</xdr:row>
      <xdr:rowOff>28047</xdr:rowOff>
    </xdr:from>
    <xdr:to>
      <xdr:col>2</xdr:col>
      <xdr:colOff>190499</xdr:colOff>
      <xdr:row>7</xdr:row>
      <xdr:rowOff>176214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0BC89C8-C735-2F3C-2A5E-7739140C78E2}"/>
            </a:ext>
          </a:extLst>
        </xdr:cNvPr>
        <xdr:cNvSpPr txBox="1"/>
      </xdr:nvSpPr>
      <xdr:spPr>
        <a:xfrm>
          <a:off x="609600" y="1171047"/>
          <a:ext cx="800099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Sessions</a:t>
          </a:r>
        </a:p>
      </xdr:txBody>
    </xdr:sp>
    <xdr:clientData/>
  </xdr:twoCellAnchor>
  <xdr:twoCellAnchor>
    <xdr:from>
      <xdr:col>2</xdr:col>
      <xdr:colOff>441678</xdr:colOff>
      <xdr:row>6</xdr:row>
      <xdr:rowOff>28047</xdr:rowOff>
    </xdr:from>
    <xdr:to>
      <xdr:col>3</xdr:col>
      <xdr:colOff>571501</xdr:colOff>
      <xdr:row>7</xdr:row>
      <xdr:rowOff>176214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C2DC863-045C-4102-AA53-6460BDE71852}"/>
            </a:ext>
          </a:extLst>
        </xdr:cNvPr>
        <xdr:cNvSpPr txBox="1"/>
      </xdr:nvSpPr>
      <xdr:spPr>
        <a:xfrm>
          <a:off x="1660878" y="1171047"/>
          <a:ext cx="739423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Rate</a:t>
          </a:r>
        </a:p>
      </xdr:txBody>
    </xdr:sp>
    <xdr:clientData/>
  </xdr:twoCellAnchor>
  <xdr:twoCellAnchor>
    <xdr:from>
      <xdr:col>4</xdr:col>
      <xdr:colOff>256117</xdr:colOff>
      <xdr:row>6</xdr:row>
      <xdr:rowOff>28047</xdr:rowOff>
    </xdr:from>
    <xdr:to>
      <xdr:col>5</xdr:col>
      <xdr:colOff>594783</xdr:colOff>
      <xdr:row>7</xdr:row>
      <xdr:rowOff>176214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9ACF8C5-3516-4645-A01F-208E6A7BAAD9}"/>
            </a:ext>
          </a:extLst>
        </xdr:cNvPr>
        <xdr:cNvSpPr txBox="1"/>
      </xdr:nvSpPr>
      <xdr:spPr>
        <a:xfrm>
          <a:off x="2694517" y="1171047"/>
          <a:ext cx="948266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Discovered</a:t>
          </a:r>
        </a:p>
      </xdr:txBody>
    </xdr:sp>
    <xdr:clientData/>
  </xdr:twoCellAnchor>
  <xdr:twoCellAnchor>
    <xdr:from>
      <xdr:col>6</xdr:col>
      <xdr:colOff>171451</xdr:colOff>
      <xdr:row>6</xdr:row>
      <xdr:rowOff>28047</xdr:rowOff>
    </xdr:from>
    <xdr:to>
      <xdr:col>7</xdr:col>
      <xdr:colOff>504825</xdr:colOff>
      <xdr:row>7</xdr:row>
      <xdr:rowOff>176214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BF94CD0-C1C7-4C99-9729-46505858FFF9}"/>
            </a:ext>
          </a:extLst>
        </xdr:cNvPr>
        <xdr:cNvSpPr txBox="1"/>
      </xdr:nvSpPr>
      <xdr:spPr>
        <a:xfrm>
          <a:off x="3829051" y="1171047"/>
          <a:ext cx="942974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Conversion</a:t>
          </a:r>
        </a:p>
      </xdr:txBody>
    </xdr:sp>
    <xdr:clientData/>
  </xdr:twoCellAnchor>
  <xdr:twoCellAnchor>
    <xdr:from>
      <xdr:col>2</xdr:col>
      <xdr:colOff>370416</xdr:colOff>
      <xdr:row>4</xdr:row>
      <xdr:rowOff>145522</xdr:rowOff>
    </xdr:from>
    <xdr:to>
      <xdr:col>4</xdr:col>
      <xdr:colOff>95249</xdr:colOff>
      <xdr:row>6</xdr:row>
      <xdr:rowOff>156105</xdr:rowOff>
    </xdr:to>
    <xdr:sp macro="" textlink="Funnel!C3">
      <xdr:nvSpPr>
        <xdr:cNvPr id="93" name="TextBox 92">
          <a:extLst>
            <a:ext uri="{FF2B5EF4-FFF2-40B4-BE49-F238E27FC236}">
              <a16:creationId xmlns:a16="http://schemas.microsoft.com/office/drawing/2014/main" id="{F939F2ED-00AC-46F7-848E-69452686501A}"/>
            </a:ext>
          </a:extLst>
        </xdr:cNvPr>
        <xdr:cNvSpPr txBox="1"/>
      </xdr:nvSpPr>
      <xdr:spPr>
        <a:xfrm>
          <a:off x="1589616" y="907522"/>
          <a:ext cx="944033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301D2069-15D8-43C9-A48A-A9D8F381C4AD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47.8%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260350</xdr:colOff>
      <xdr:row>4</xdr:row>
      <xdr:rowOff>145522</xdr:rowOff>
    </xdr:from>
    <xdr:to>
      <xdr:col>5</xdr:col>
      <xdr:colOff>599015</xdr:colOff>
      <xdr:row>6</xdr:row>
      <xdr:rowOff>156105</xdr:rowOff>
    </xdr:to>
    <xdr:sp macro="" textlink="Funnel!C4">
      <xdr:nvSpPr>
        <xdr:cNvPr id="96" name="TextBox 95">
          <a:extLst>
            <a:ext uri="{FF2B5EF4-FFF2-40B4-BE49-F238E27FC236}">
              <a16:creationId xmlns:a16="http://schemas.microsoft.com/office/drawing/2014/main" id="{4DE53259-C434-4117-B617-6E1340AC16BA}"/>
            </a:ext>
          </a:extLst>
        </xdr:cNvPr>
        <xdr:cNvSpPr txBox="1"/>
      </xdr:nvSpPr>
      <xdr:spPr>
        <a:xfrm>
          <a:off x="2698750" y="907522"/>
          <a:ext cx="948265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B7DBA715-A066-498F-AFCE-C163186A1B37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30.6%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190500</xdr:colOff>
      <xdr:row>4</xdr:row>
      <xdr:rowOff>145522</xdr:rowOff>
    </xdr:from>
    <xdr:to>
      <xdr:col>7</xdr:col>
      <xdr:colOff>529166</xdr:colOff>
      <xdr:row>6</xdr:row>
      <xdr:rowOff>156105</xdr:rowOff>
    </xdr:to>
    <xdr:sp macro="" textlink="Funnel!C5">
      <xdr:nvSpPr>
        <xdr:cNvPr id="97" name="TextBox 96">
          <a:extLst>
            <a:ext uri="{FF2B5EF4-FFF2-40B4-BE49-F238E27FC236}">
              <a16:creationId xmlns:a16="http://schemas.microsoft.com/office/drawing/2014/main" id="{20F2185E-72E7-4F38-978D-0318A7F81F22}"/>
            </a:ext>
          </a:extLst>
        </xdr:cNvPr>
        <xdr:cNvSpPr txBox="1"/>
      </xdr:nvSpPr>
      <xdr:spPr>
        <a:xfrm>
          <a:off x="3848100" y="907522"/>
          <a:ext cx="948266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E4294E19-F268-451D-9D38-51346424F10D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12.0%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78314</xdr:colOff>
      <xdr:row>28</xdr:row>
      <xdr:rowOff>174624</xdr:rowOff>
    </xdr:from>
    <xdr:to>
      <xdr:col>8</xdr:col>
      <xdr:colOff>504825</xdr:colOff>
      <xdr:row>43</xdr:row>
      <xdr:rowOff>77257</xdr:rowOff>
    </xdr:to>
    <xdr:sp macro="" textlink="">
      <xdr:nvSpPr>
        <xdr:cNvPr id="99" name="Rectangle: Rounded Corners 98">
          <a:extLst>
            <a:ext uri="{FF2B5EF4-FFF2-40B4-BE49-F238E27FC236}">
              <a16:creationId xmlns:a16="http://schemas.microsoft.com/office/drawing/2014/main" id="{C83A6B93-3573-480B-8426-178BDC10C62D}"/>
            </a:ext>
          </a:extLst>
        </xdr:cNvPr>
        <xdr:cNvSpPr/>
      </xdr:nvSpPr>
      <xdr:spPr>
        <a:xfrm>
          <a:off x="78314" y="5508624"/>
          <a:ext cx="5303311" cy="2760133"/>
        </a:xfrm>
        <a:prstGeom prst="roundRect">
          <a:avLst>
            <a:gd name="adj" fmla="val 22358"/>
          </a:avLst>
        </a:prstGeom>
        <a:solidFill>
          <a:schemeClr val="tx1">
            <a:lumMod val="95000"/>
            <a:lumOff val="5000"/>
            <a:alpha val="97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287865</xdr:colOff>
      <xdr:row>23</xdr:row>
      <xdr:rowOff>58208</xdr:rowOff>
    </xdr:from>
    <xdr:to>
      <xdr:col>8</xdr:col>
      <xdr:colOff>175143</xdr:colOff>
      <xdr:row>36</xdr:row>
      <xdr:rowOff>58208</xdr:rowOff>
    </xdr:to>
    <xdr:sp macro="" textlink="">
      <xdr:nvSpPr>
        <xdr:cNvPr id="100" name="Rectangle: Rounded Corners 99">
          <a:extLst>
            <a:ext uri="{FF2B5EF4-FFF2-40B4-BE49-F238E27FC236}">
              <a16:creationId xmlns:a16="http://schemas.microsoft.com/office/drawing/2014/main" id="{D0FB2B76-9597-4C08-A7DA-C6F6421D8FEA}"/>
            </a:ext>
          </a:extLst>
        </xdr:cNvPr>
        <xdr:cNvSpPr/>
      </xdr:nvSpPr>
      <xdr:spPr>
        <a:xfrm>
          <a:off x="287865" y="4439708"/>
          <a:ext cx="4764078" cy="2476500"/>
        </a:xfrm>
        <a:prstGeom prst="roundRect">
          <a:avLst>
            <a:gd name="adj" fmla="val 22358"/>
          </a:avLst>
        </a:prstGeom>
        <a:gradFill>
          <a:gsLst>
            <a:gs pos="20000">
              <a:schemeClr val="tx2">
                <a:lumMod val="75000"/>
                <a:lumOff val="25000"/>
                <a:alpha val="95000"/>
              </a:schemeClr>
            </a:gs>
            <a:gs pos="35000">
              <a:schemeClr val="tx2">
                <a:lumMod val="90000"/>
                <a:lumOff val="10000"/>
                <a:alpha val="95000"/>
              </a:schemeClr>
            </a:gs>
            <a:gs pos="46000">
              <a:schemeClr val="tx1">
                <a:alpha val="97000"/>
                <a:lumMod val="92000"/>
                <a:lumOff val="8000"/>
              </a:scheme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47095</xdr:colOff>
      <xdr:row>3</xdr:row>
      <xdr:rowOff>76200</xdr:rowOff>
    </xdr:from>
    <xdr:to>
      <xdr:col>11</xdr:col>
      <xdr:colOff>536045</xdr:colOff>
      <xdr:row>4</xdr:row>
      <xdr:rowOff>57150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149042B1-501D-D4D2-0229-D3A2C5CB67F2}"/>
            </a:ext>
          </a:extLst>
        </xdr:cNvPr>
        <xdr:cNvSpPr txBox="1"/>
      </xdr:nvSpPr>
      <xdr:spPr>
        <a:xfrm>
          <a:off x="6143095" y="647700"/>
          <a:ext cx="1098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Avg Job Score</a:t>
          </a:r>
        </a:p>
      </xdr:txBody>
    </xdr:sp>
    <xdr:clientData/>
  </xdr:twoCellAnchor>
  <xdr:twoCellAnchor>
    <xdr:from>
      <xdr:col>9</xdr:col>
      <xdr:colOff>525991</xdr:colOff>
      <xdr:row>4</xdr:row>
      <xdr:rowOff>62441</xdr:rowOff>
    </xdr:from>
    <xdr:to>
      <xdr:col>12</xdr:col>
      <xdr:colOff>57150</xdr:colOff>
      <xdr:row>6</xdr:row>
      <xdr:rowOff>115358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FD8FCD9-1C56-D9EF-8D44-F750768DC8C4}"/>
            </a:ext>
          </a:extLst>
        </xdr:cNvPr>
        <xdr:cNvSpPr txBox="1"/>
      </xdr:nvSpPr>
      <xdr:spPr>
        <a:xfrm>
          <a:off x="6012391" y="824441"/>
          <a:ext cx="1359959" cy="433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Out of 1.0</a:t>
          </a:r>
        </a:p>
      </xdr:txBody>
    </xdr:sp>
    <xdr:clientData/>
  </xdr:twoCellAnchor>
  <xdr:twoCellAnchor>
    <xdr:from>
      <xdr:col>18</xdr:col>
      <xdr:colOff>123826</xdr:colOff>
      <xdr:row>28</xdr:row>
      <xdr:rowOff>57148</xdr:rowOff>
    </xdr:from>
    <xdr:to>
      <xdr:col>26</xdr:col>
      <xdr:colOff>495300</xdr:colOff>
      <xdr:row>43</xdr:row>
      <xdr:rowOff>104775</xdr:rowOff>
    </xdr:to>
    <xdr:sp macro="" textlink="">
      <xdr:nvSpPr>
        <xdr:cNvPr id="105" name="Rectangle: Rounded Corners 104">
          <a:extLst>
            <a:ext uri="{FF2B5EF4-FFF2-40B4-BE49-F238E27FC236}">
              <a16:creationId xmlns:a16="http://schemas.microsoft.com/office/drawing/2014/main" id="{F45344A3-6680-43AB-97BD-51DC2F680113}"/>
            </a:ext>
          </a:extLst>
        </xdr:cNvPr>
        <xdr:cNvSpPr/>
      </xdr:nvSpPr>
      <xdr:spPr>
        <a:xfrm>
          <a:off x="11096626" y="5391148"/>
          <a:ext cx="5248274" cy="2905127"/>
        </a:xfrm>
        <a:prstGeom prst="roundRect">
          <a:avLst>
            <a:gd name="adj" fmla="val 22358"/>
          </a:avLst>
        </a:prstGeom>
        <a:solidFill>
          <a:schemeClr val="tx1">
            <a:lumMod val="95000"/>
            <a:lumOff val="5000"/>
            <a:alpha val="97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359699</xdr:colOff>
      <xdr:row>23</xdr:row>
      <xdr:rowOff>104774</xdr:rowOff>
    </xdr:from>
    <xdr:to>
      <xdr:col>26</xdr:col>
      <xdr:colOff>284512</xdr:colOff>
      <xdr:row>35</xdr:row>
      <xdr:rowOff>55031</xdr:rowOff>
    </xdr:to>
    <xdr:sp macro="" textlink="">
      <xdr:nvSpPr>
        <xdr:cNvPr id="106" name="Rectangle: Rounded Corners 105">
          <a:extLst>
            <a:ext uri="{FF2B5EF4-FFF2-40B4-BE49-F238E27FC236}">
              <a16:creationId xmlns:a16="http://schemas.microsoft.com/office/drawing/2014/main" id="{3C3EC5F9-709C-4908-B15B-B95F41A2E855}"/>
            </a:ext>
          </a:extLst>
        </xdr:cNvPr>
        <xdr:cNvSpPr/>
      </xdr:nvSpPr>
      <xdr:spPr>
        <a:xfrm>
          <a:off x="11332499" y="4486274"/>
          <a:ext cx="4801613" cy="2236257"/>
        </a:xfrm>
        <a:prstGeom prst="roundRect">
          <a:avLst>
            <a:gd name="adj" fmla="val 22358"/>
          </a:avLst>
        </a:prstGeom>
        <a:gradFill>
          <a:gsLst>
            <a:gs pos="20000">
              <a:schemeClr val="tx2">
                <a:lumMod val="75000"/>
                <a:lumOff val="25000"/>
                <a:alpha val="95000"/>
              </a:schemeClr>
            </a:gs>
            <a:gs pos="35000">
              <a:schemeClr val="tx2">
                <a:lumMod val="90000"/>
                <a:lumOff val="10000"/>
                <a:alpha val="95000"/>
              </a:schemeClr>
            </a:gs>
            <a:gs pos="46000">
              <a:schemeClr val="tx1">
                <a:alpha val="97000"/>
                <a:lumMod val="92000"/>
                <a:lumOff val="8000"/>
              </a:scheme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198965</xdr:colOff>
      <xdr:row>28</xdr:row>
      <xdr:rowOff>87840</xdr:rowOff>
    </xdr:from>
    <xdr:to>
      <xdr:col>26</xdr:col>
      <xdr:colOff>457200</xdr:colOff>
      <xdr:row>43</xdr:row>
      <xdr:rowOff>38099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34632548-FCED-41A2-9DD3-ED104B655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452969</xdr:colOff>
      <xdr:row>21</xdr:row>
      <xdr:rowOff>177799</xdr:rowOff>
    </xdr:from>
    <xdr:to>
      <xdr:col>21</xdr:col>
      <xdr:colOff>76198</xdr:colOff>
      <xdr:row>24</xdr:row>
      <xdr:rowOff>177799</xdr:rowOff>
    </xdr:to>
    <xdr:sp macro="" textlink="">
      <xdr:nvSpPr>
        <xdr:cNvPr id="108" name="Rectangle: Rounded Corners 107">
          <a:extLst>
            <a:ext uri="{FF2B5EF4-FFF2-40B4-BE49-F238E27FC236}">
              <a16:creationId xmlns:a16="http://schemas.microsoft.com/office/drawing/2014/main" id="{77753611-4B72-4F50-B27C-90ED73A4900F}"/>
            </a:ext>
          </a:extLst>
        </xdr:cNvPr>
        <xdr:cNvSpPr/>
      </xdr:nvSpPr>
      <xdr:spPr>
        <a:xfrm>
          <a:off x="12035369" y="4178299"/>
          <a:ext cx="842429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424393</xdr:colOff>
      <xdr:row>21</xdr:row>
      <xdr:rowOff>177799</xdr:rowOff>
    </xdr:from>
    <xdr:to>
      <xdr:col>23</xdr:col>
      <xdr:colOff>51857</xdr:colOff>
      <xdr:row>24</xdr:row>
      <xdr:rowOff>177799</xdr:rowOff>
    </xdr:to>
    <xdr:sp macro="" textlink="">
      <xdr:nvSpPr>
        <xdr:cNvPr id="109" name="Rectangle: Rounded Corners 108">
          <a:extLst>
            <a:ext uri="{FF2B5EF4-FFF2-40B4-BE49-F238E27FC236}">
              <a16:creationId xmlns:a16="http://schemas.microsoft.com/office/drawing/2014/main" id="{0CB81A5E-D8EB-43A7-B877-D65BE0A3E134}"/>
            </a:ext>
          </a:extLst>
        </xdr:cNvPr>
        <xdr:cNvSpPr/>
      </xdr:nvSpPr>
      <xdr:spPr>
        <a:xfrm>
          <a:off x="13225993" y="4178299"/>
          <a:ext cx="846664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400052</xdr:colOff>
      <xdr:row>21</xdr:row>
      <xdr:rowOff>177799</xdr:rowOff>
    </xdr:from>
    <xdr:to>
      <xdr:col>25</xdr:col>
      <xdr:colOff>27516</xdr:colOff>
      <xdr:row>24</xdr:row>
      <xdr:rowOff>177799</xdr:rowOff>
    </xdr:to>
    <xdr:sp macro="" textlink="">
      <xdr:nvSpPr>
        <xdr:cNvPr id="110" name="Rectangle: Rounded Corners 109">
          <a:extLst>
            <a:ext uri="{FF2B5EF4-FFF2-40B4-BE49-F238E27FC236}">
              <a16:creationId xmlns:a16="http://schemas.microsoft.com/office/drawing/2014/main" id="{8EEF902D-CB85-4558-9289-12E85C9100DD}"/>
            </a:ext>
          </a:extLst>
        </xdr:cNvPr>
        <xdr:cNvSpPr/>
      </xdr:nvSpPr>
      <xdr:spPr>
        <a:xfrm>
          <a:off x="14420852" y="4178299"/>
          <a:ext cx="846664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503764</xdr:colOff>
      <xdr:row>22</xdr:row>
      <xdr:rowOff>24340</xdr:rowOff>
    </xdr:from>
    <xdr:to>
      <xdr:col>21</xdr:col>
      <xdr:colOff>23279</xdr:colOff>
      <xdr:row>24</xdr:row>
      <xdr:rowOff>140757</xdr:rowOff>
    </xdr:to>
    <xdr:sp macro="" textlink="Sessions!K3">
      <xdr:nvSpPr>
        <xdr:cNvPr id="111" name="TextBox 110">
          <a:extLst>
            <a:ext uri="{FF2B5EF4-FFF2-40B4-BE49-F238E27FC236}">
              <a16:creationId xmlns:a16="http://schemas.microsoft.com/office/drawing/2014/main" id="{8E464748-F5F7-4E86-A283-BEBF54F38D9E}"/>
            </a:ext>
          </a:extLst>
        </xdr:cNvPr>
        <xdr:cNvSpPr txBox="1"/>
      </xdr:nvSpPr>
      <xdr:spPr>
        <a:xfrm>
          <a:off x="12086164" y="4215340"/>
          <a:ext cx="738715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11D9B8FE-05D3-4472-BF54-968A91C96A1A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7.2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476249</xdr:colOff>
      <xdr:row>22</xdr:row>
      <xdr:rowOff>24340</xdr:rowOff>
    </xdr:from>
    <xdr:to>
      <xdr:col>22</xdr:col>
      <xdr:colOff>605365</xdr:colOff>
      <xdr:row>24</xdr:row>
      <xdr:rowOff>140757</xdr:rowOff>
    </xdr:to>
    <xdr:sp macro="" textlink="Sessions!K4">
      <xdr:nvSpPr>
        <xdr:cNvPr id="112" name="TextBox 111">
          <a:extLst>
            <a:ext uri="{FF2B5EF4-FFF2-40B4-BE49-F238E27FC236}">
              <a16:creationId xmlns:a16="http://schemas.microsoft.com/office/drawing/2014/main" id="{7F027BCE-0694-46EF-82FB-B69180B5EF43}"/>
            </a:ext>
          </a:extLst>
        </xdr:cNvPr>
        <xdr:cNvSpPr txBox="1"/>
      </xdr:nvSpPr>
      <xdr:spPr>
        <a:xfrm>
          <a:off x="13277849" y="4215340"/>
          <a:ext cx="738716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21E73746-72E2-49A9-8FAF-A5DFBE3A6BAC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0.5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448733</xdr:colOff>
      <xdr:row>22</xdr:row>
      <xdr:rowOff>24340</xdr:rowOff>
    </xdr:from>
    <xdr:to>
      <xdr:col>24</xdr:col>
      <xdr:colOff>582083</xdr:colOff>
      <xdr:row>24</xdr:row>
      <xdr:rowOff>140757</xdr:rowOff>
    </xdr:to>
    <xdr:sp macro="" textlink="Sessions!K5">
      <xdr:nvSpPr>
        <xdr:cNvPr id="113" name="TextBox 112">
          <a:extLst>
            <a:ext uri="{FF2B5EF4-FFF2-40B4-BE49-F238E27FC236}">
              <a16:creationId xmlns:a16="http://schemas.microsoft.com/office/drawing/2014/main" id="{1CF22C18-E30D-464A-A128-CE276E4F705B}"/>
            </a:ext>
          </a:extLst>
        </xdr:cNvPr>
        <xdr:cNvSpPr txBox="1"/>
      </xdr:nvSpPr>
      <xdr:spPr>
        <a:xfrm>
          <a:off x="14469533" y="4215340"/>
          <a:ext cx="742950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FFC8E81D-9381-44F8-9A50-AA345F3F6A2E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8.2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219076</xdr:colOff>
      <xdr:row>24</xdr:row>
      <xdr:rowOff>103716</xdr:rowOff>
    </xdr:from>
    <xdr:to>
      <xdr:col>21</xdr:col>
      <xdr:colOff>250824</xdr:colOff>
      <xdr:row>28</xdr:row>
      <xdr:rowOff>50800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44EA7CE-F3A0-0622-BDB2-F1D83E37BAE0}"/>
            </a:ext>
          </a:extLst>
        </xdr:cNvPr>
        <xdr:cNvSpPr txBox="1"/>
      </xdr:nvSpPr>
      <xdr:spPr>
        <a:xfrm>
          <a:off x="11801476" y="4675716"/>
          <a:ext cx="1250948" cy="709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 algn="ctr"/>
          <a:r>
            <a:rPr lang="en-US" sz="1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Avg</a:t>
          </a:r>
        </a:p>
        <a:p>
          <a:pPr marL="0" indent="0" algn="ctr"/>
          <a:r>
            <a:rPr lang="en-US" sz="1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Jobs</a:t>
          </a:r>
          <a:r>
            <a:rPr lang="en-US" sz="1800" b="0" i="0" u="none" strike="noStrike" baseline="0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 </a:t>
          </a:r>
          <a:r>
            <a:rPr lang="en-US" sz="1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Logged</a:t>
          </a:r>
        </a:p>
      </xdr:txBody>
    </xdr:sp>
    <xdr:clientData/>
  </xdr:twoCellAnchor>
  <xdr:twoCellAnchor>
    <xdr:from>
      <xdr:col>21</xdr:col>
      <xdr:colOff>187325</xdr:colOff>
      <xdr:row>24</xdr:row>
      <xdr:rowOff>103716</xdr:rowOff>
    </xdr:from>
    <xdr:to>
      <xdr:col>23</xdr:col>
      <xdr:colOff>219075</xdr:colOff>
      <xdr:row>28</xdr:row>
      <xdr:rowOff>50800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FC06EE10-EDA8-47BD-B4E9-8D78F4CF8110}"/>
            </a:ext>
          </a:extLst>
        </xdr:cNvPr>
        <xdr:cNvSpPr txBox="1"/>
      </xdr:nvSpPr>
      <xdr:spPr>
        <a:xfrm>
          <a:off x="12988925" y="4675716"/>
          <a:ext cx="1250950" cy="709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 algn="ctr"/>
          <a:r>
            <a:rPr lang="en-US" sz="1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Avg</a:t>
          </a:r>
        </a:p>
        <a:p>
          <a:pPr marL="0" indent="0" algn="ctr"/>
          <a:r>
            <a:rPr lang="en-US" sz="1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Proposals</a:t>
          </a:r>
          <a:r>
            <a:rPr lang="en-US" sz="1800" b="0" i="0" u="none" strike="noStrike" baseline="0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 Sent</a:t>
          </a:r>
          <a:endParaRPr lang="en-US" sz="1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155575</xdr:colOff>
      <xdr:row>24</xdr:row>
      <xdr:rowOff>103716</xdr:rowOff>
    </xdr:from>
    <xdr:to>
      <xdr:col>25</xdr:col>
      <xdr:colOff>303742</xdr:colOff>
      <xdr:row>28</xdr:row>
      <xdr:rowOff>50800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8C40708-CA5B-4B39-B78D-36FEC1CE5B29}"/>
            </a:ext>
          </a:extLst>
        </xdr:cNvPr>
        <xdr:cNvSpPr txBox="1"/>
      </xdr:nvSpPr>
      <xdr:spPr>
        <a:xfrm>
          <a:off x="14176375" y="4675716"/>
          <a:ext cx="1367367" cy="709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 algn="ctr"/>
          <a:r>
            <a:rPr lang="en-US" sz="1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Avg</a:t>
          </a:r>
        </a:p>
        <a:p>
          <a:pPr marL="0" indent="0" algn="ctr"/>
          <a:r>
            <a:rPr lang="en-US" sz="1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Connects</a:t>
          </a:r>
          <a:r>
            <a:rPr lang="en-US" sz="1800" b="0" i="0" u="none" strike="noStrike" baseline="0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 Spent</a:t>
          </a:r>
          <a:endParaRPr lang="en-US" sz="1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607487</xdr:colOff>
      <xdr:row>21</xdr:row>
      <xdr:rowOff>160866</xdr:rowOff>
    </xdr:from>
    <xdr:to>
      <xdr:col>2</xdr:col>
      <xdr:colOff>239183</xdr:colOff>
      <xdr:row>24</xdr:row>
      <xdr:rowOff>160866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9CD7052-D9F1-48A7-9A03-7222FEF45157}"/>
            </a:ext>
          </a:extLst>
        </xdr:cNvPr>
        <xdr:cNvSpPr/>
      </xdr:nvSpPr>
      <xdr:spPr>
        <a:xfrm>
          <a:off x="607487" y="4161366"/>
          <a:ext cx="850896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59268</xdr:colOff>
      <xdr:row>21</xdr:row>
      <xdr:rowOff>182032</xdr:rowOff>
    </xdr:from>
    <xdr:to>
      <xdr:col>2</xdr:col>
      <xdr:colOff>196850</xdr:colOff>
      <xdr:row>24</xdr:row>
      <xdr:rowOff>107949</xdr:rowOff>
    </xdr:to>
    <xdr:sp macro="" textlink="Proposals!M2">
      <xdr:nvSpPr>
        <xdr:cNvPr id="3" name="TextBox 2">
          <a:extLst>
            <a:ext uri="{FF2B5EF4-FFF2-40B4-BE49-F238E27FC236}">
              <a16:creationId xmlns:a16="http://schemas.microsoft.com/office/drawing/2014/main" id="{629A6F6E-4D5B-4AE7-85C0-5175732AE68F}"/>
            </a:ext>
          </a:extLst>
        </xdr:cNvPr>
        <xdr:cNvSpPr txBox="1"/>
      </xdr:nvSpPr>
      <xdr:spPr>
        <a:xfrm>
          <a:off x="668868" y="4182532"/>
          <a:ext cx="747182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805CB588-FC87-46F5-9994-189535288E0A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T1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483662</xdr:colOff>
      <xdr:row>21</xdr:row>
      <xdr:rowOff>160866</xdr:rowOff>
    </xdr:from>
    <xdr:to>
      <xdr:col>4</xdr:col>
      <xdr:colOff>115358</xdr:colOff>
      <xdr:row>24</xdr:row>
      <xdr:rowOff>160866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3527B23-39F5-4652-895C-FAEF29DA708F}"/>
            </a:ext>
          </a:extLst>
        </xdr:cNvPr>
        <xdr:cNvSpPr/>
      </xdr:nvSpPr>
      <xdr:spPr>
        <a:xfrm>
          <a:off x="1702862" y="4161366"/>
          <a:ext cx="850896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545043</xdr:colOff>
      <xdr:row>21</xdr:row>
      <xdr:rowOff>182032</xdr:rowOff>
    </xdr:from>
    <xdr:to>
      <xdr:col>4</xdr:col>
      <xdr:colOff>73025</xdr:colOff>
      <xdr:row>24</xdr:row>
      <xdr:rowOff>107949</xdr:rowOff>
    </xdr:to>
    <xdr:sp macro="" textlink="Proposals!I2">
      <xdr:nvSpPr>
        <xdr:cNvPr id="5" name="TextBox 4">
          <a:extLst>
            <a:ext uri="{FF2B5EF4-FFF2-40B4-BE49-F238E27FC236}">
              <a16:creationId xmlns:a16="http://schemas.microsoft.com/office/drawing/2014/main" id="{ED136502-464E-4CBD-A138-7116E81B1867}"/>
            </a:ext>
          </a:extLst>
        </xdr:cNvPr>
        <xdr:cNvSpPr txBox="1"/>
      </xdr:nvSpPr>
      <xdr:spPr>
        <a:xfrm>
          <a:off x="1764243" y="4182532"/>
          <a:ext cx="747182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7678A8EE-AD61-4670-B3C5-E962B8EB5D22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3.8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359837</xdr:colOff>
      <xdr:row>21</xdr:row>
      <xdr:rowOff>160866</xdr:rowOff>
    </xdr:from>
    <xdr:to>
      <xdr:col>5</xdr:col>
      <xdr:colOff>601133</xdr:colOff>
      <xdr:row>24</xdr:row>
      <xdr:rowOff>160866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7EF7646-E40A-42BC-B739-C726B9F0CCD5}"/>
            </a:ext>
          </a:extLst>
        </xdr:cNvPr>
        <xdr:cNvSpPr/>
      </xdr:nvSpPr>
      <xdr:spPr>
        <a:xfrm>
          <a:off x="2798237" y="4161366"/>
          <a:ext cx="850896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421218</xdr:colOff>
      <xdr:row>21</xdr:row>
      <xdr:rowOff>182032</xdr:rowOff>
    </xdr:from>
    <xdr:to>
      <xdr:col>5</xdr:col>
      <xdr:colOff>558800</xdr:colOff>
      <xdr:row>24</xdr:row>
      <xdr:rowOff>107949</xdr:rowOff>
    </xdr:to>
    <xdr:sp macro="" textlink="Proposals!J2">
      <xdr:nvSpPr>
        <xdr:cNvPr id="7" name="TextBox 6">
          <a:extLst>
            <a:ext uri="{FF2B5EF4-FFF2-40B4-BE49-F238E27FC236}">
              <a16:creationId xmlns:a16="http://schemas.microsoft.com/office/drawing/2014/main" id="{C9B635FA-86E5-457A-9251-2E31667E24FA}"/>
            </a:ext>
          </a:extLst>
        </xdr:cNvPr>
        <xdr:cNvSpPr txBox="1"/>
      </xdr:nvSpPr>
      <xdr:spPr>
        <a:xfrm>
          <a:off x="2859618" y="4182532"/>
          <a:ext cx="747182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1C4F30CB-5D1A-4400-A6D5-671F5E40CCB4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3.8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236012</xdr:colOff>
      <xdr:row>21</xdr:row>
      <xdr:rowOff>160866</xdr:rowOff>
    </xdr:from>
    <xdr:to>
      <xdr:col>7</xdr:col>
      <xdr:colOff>477308</xdr:colOff>
      <xdr:row>24</xdr:row>
      <xdr:rowOff>160866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FC4B2F0-505C-4F19-8643-DEBAA7BBD18F}"/>
            </a:ext>
          </a:extLst>
        </xdr:cNvPr>
        <xdr:cNvSpPr/>
      </xdr:nvSpPr>
      <xdr:spPr>
        <a:xfrm>
          <a:off x="3893612" y="4161366"/>
          <a:ext cx="850896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297393</xdr:colOff>
      <xdr:row>21</xdr:row>
      <xdr:rowOff>182032</xdr:rowOff>
    </xdr:from>
    <xdr:to>
      <xdr:col>7</xdr:col>
      <xdr:colOff>434975</xdr:colOff>
      <xdr:row>24</xdr:row>
      <xdr:rowOff>107949</xdr:rowOff>
    </xdr:to>
    <xdr:sp macro="" textlink="Proposals!K2">
      <xdr:nvSpPr>
        <xdr:cNvPr id="9" name="TextBox 8">
          <a:extLst>
            <a:ext uri="{FF2B5EF4-FFF2-40B4-BE49-F238E27FC236}">
              <a16:creationId xmlns:a16="http://schemas.microsoft.com/office/drawing/2014/main" id="{15738226-FC8F-45BD-818A-8D7B66779FDC}"/>
            </a:ext>
          </a:extLst>
        </xdr:cNvPr>
        <xdr:cNvSpPr txBox="1"/>
      </xdr:nvSpPr>
      <xdr:spPr>
        <a:xfrm>
          <a:off x="3954993" y="4182532"/>
          <a:ext cx="747182" cy="497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FFD33ED4-36A7-48AC-BF50-74A0D89478D3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3.8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523346</xdr:colOff>
      <xdr:row>24</xdr:row>
      <xdr:rowOff>163514</xdr:rowOff>
    </xdr:from>
    <xdr:to>
      <xdr:col>2</xdr:col>
      <xdr:colOff>290512</xdr:colOff>
      <xdr:row>25</xdr:row>
      <xdr:rowOff>138113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BE1C274-0BC2-46F2-99F2-3CE29B18E32D}"/>
            </a:ext>
          </a:extLst>
        </xdr:cNvPr>
        <xdr:cNvSpPr txBox="1"/>
      </xdr:nvSpPr>
      <xdr:spPr>
        <a:xfrm>
          <a:off x="523346" y="4735514"/>
          <a:ext cx="986366" cy="165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Top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Proposal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1</xdr:col>
      <xdr:colOff>184679</xdr:colOff>
      <xdr:row>25</xdr:row>
      <xdr:rowOff>188384</xdr:rowOff>
    </xdr:from>
    <xdr:to>
      <xdr:col>2</xdr:col>
      <xdr:colOff>19579</xdr:colOff>
      <xdr:row>28</xdr:row>
      <xdr:rowOff>8467</xdr:rowOff>
    </xdr:to>
    <xdr:sp macro="" textlink="Proposals!D3">
      <xdr:nvSpPr>
        <xdr:cNvPr id="11" name="TextBox 10">
          <a:extLst>
            <a:ext uri="{FF2B5EF4-FFF2-40B4-BE49-F238E27FC236}">
              <a16:creationId xmlns:a16="http://schemas.microsoft.com/office/drawing/2014/main" id="{7C4481A7-D74F-40D8-8486-10B3B2C5AD3B}"/>
            </a:ext>
          </a:extLst>
        </xdr:cNvPr>
        <xdr:cNvSpPr txBox="1"/>
      </xdr:nvSpPr>
      <xdr:spPr>
        <a:xfrm>
          <a:off x="794279" y="4950884"/>
          <a:ext cx="444500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8AA6A7BB-2096-466E-AF49-87468DB2EB66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12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451908</xdr:colOff>
      <xdr:row>27</xdr:row>
      <xdr:rowOff>80434</xdr:rowOff>
    </xdr:from>
    <xdr:to>
      <xdr:col>2</xdr:col>
      <xdr:colOff>361950</xdr:colOff>
      <xdr:row>29</xdr:row>
      <xdr:rowOff>38101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7DA93B1-049C-4DAF-9DA4-B3FAF2407DE7}"/>
            </a:ext>
          </a:extLst>
        </xdr:cNvPr>
        <xdr:cNvSpPr txBox="1"/>
      </xdr:nvSpPr>
      <xdr:spPr>
        <a:xfrm>
          <a:off x="451908" y="5223934"/>
          <a:ext cx="1129242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Proposals</a:t>
          </a:r>
          <a:r>
            <a:rPr lang="en-US" sz="11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 Sent</a:t>
          </a:r>
          <a:endParaRPr lang="en-US" sz="11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481893</xdr:colOff>
      <xdr:row>24</xdr:row>
      <xdr:rowOff>161397</xdr:rowOff>
    </xdr:from>
    <xdr:to>
      <xdr:col>4</xdr:col>
      <xdr:colOff>136877</xdr:colOff>
      <xdr:row>25</xdr:row>
      <xdr:rowOff>140230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B773D0-E7B8-4474-B5BC-DCF14135C83D}"/>
            </a:ext>
          </a:extLst>
        </xdr:cNvPr>
        <xdr:cNvSpPr txBox="1"/>
      </xdr:nvSpPr>
      <xdr:spPr>
        <a:xfrm>
          <a:off x="1701093" y="4733397"/>
          <a:ext cx="874184" cy="169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Reply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Rate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3</xdr:col>
      <xdr:colOff>87135</xdr:colOff>
      <xdr:row>25</xdr:row>
      <xdr:rowOff>188384</xdr:rowOff>
    </xdr:from>
    <xdr:to>
      <xdr:col>3</xdr:col>
      <xdr:colOff>531635</xdr:colOff>
      <xdr:row>28</xdr:row>
      <xdr:rowOff>8467</xdr:rowOff>
    </xdr:to>
    <xdr:sp macro="" textlink="Proposals!F2">
      <xdr:nvSpPr>
        <xdr:cNvPr id="14" name="TextBox 13">
          <a:extLst>
            <a:ext uri="{FF2B5EF4-FFF2-40B4-BE49-F238E27FC236}">
              <a16:creationId xmlns:a16="http://schemas.microsoft.com/office/drawing/2014/main" id="{FFECAC25-F0F6-4914-AF4C-DB3C536FDFCD}"/>
            </a:ext>
          </a:extLst>
        </xdr:cNvPr>
        <xdr:cNvSpPr txBox="1"/>
      </xdr:nvSpPr>
      <xdr:spPr>
        <a:xfrm>
          <a:off x="1915935" y="4950884"/>
          <a:ext cx="444500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F418380C-E23D-41EF-9887-0D7C8D823CBE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518936</xdr:colOff>
      <xdr:row>27</xdr:row>
      <xdr:rowOff>80434</xdr:rowOff>
    </xdr:from>
    <xdr:to>
      <xdr:col>4</xdr:col>
      <xdr:colOff>99835</xdr:colOff>
      <xdr:row>29</xdr:row>
      <xdr:rowOff>38101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FD8375C-3D4B-436D-9FCF-27486F1FED36}"/>
            </a:ext>
          </a:extLst>
        </xdr:cNvPr>
        <xdr:cNvSpPr txBox="1"/>
      </xdr:nvSpPr>
      <xdr:spPr>
        <a:xfrm>
          <a:off x="1738136" y="5223934"/>
          <a:ext cx="800099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Replies</a:t>
          </a:r>
        </a:p>
      </xdr:txBody>
    </xdr:sp>
    <xdr:clientData/>
  </xdr:twoCellAnchor>
  <xdr:twoCellAnchor>
    <xdr:from>
      <xdr:col>4</xdr:col>
      <xdr:colOff>266876</xdr:colOff>
      <xdr:row>24</xdr:row>
      <xdr:rowOff>177801</xdr:rowOff>
    </xdr:from>
    <xdr:to>
      <xdr:col>6</xdr:col>
      <xdr:colOff>81667</xdr:colOff>
      <xdr:row>25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9037EB7-F24D-43C5-9050-B35C9DE7948F}"/>
            </a:ext>
          </a:extLst>
        </xdr:cNvPr>
        <xdr:cNvSpPr txBox="1"/>
      </xdr:nvSpPr>
      <xdr:spPr>
        <a:xfrm>
          <a:off x="2705276" y="4749801"/>
          <a:ext cx="1033991" cy="136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Interview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Rate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4</xdr:col>
      <xdr:colOff>561621</xdr:colOff>
      <xdr:row>25</xdr:row>
      <xdr:rowOff>188384</xdr:rowOff>
    </xdr:from>
    <xdr:to>
      <xdr:col>5</xdr:col>
      <xdr:colOff>396521</xdr:colOff>
      <xdr:row>28</xdr:row>
      <xdr:rowOff>8467</xdr:rowOff>
    </xdr:to>
    <xdr:sp macro="" textlink="Proposals!G2">
      <xdr:nvSpPr>
        <xdr:cNvPr id="18" name="TextBox 17">
          <a:extLst>
            <a:ext uri="{FF2B5EF4-FFF2-40B4-BE49-F238E27FC236}">
              <a16:creationId xmlns:a16="http://schemas.microsoft.com/office/drawing/2014/main" id="{4FF3F703-128E-4E41-A160-F23D059A94D8}"/>
            </a:ext>
          </a:extLst>
        </xdr:cNvPr>
        <xdr:cNvSpPr txBox="1"/>
      </xdr:nvSpPr>
      <xdr:spPr>
        <a:xfrm>
          <a:off x="3000021" y="4950884"/>
          <a:ext cx="444500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45209D56-907A-4841-B351-1CD82B7DDA63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343075</xdr:colOff>
      <xdr:row>27</xdr:row>
      <xdr:rowOff>80434</xdr:rowOff>
    </xdr:from>
    <xdr:to>
      <xdr:col>6</xdr:col>
      <xdr:colOff>5467</xdr:colOff>
      <xdr:row>29</xdr:row>
      <xdr:rowOff>38101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7593C94-691D-4009-915C-6AF4D167C9D5}"/>
            </a:ext>
          </a:extLst>
        </xdr:cNvPr>
        <xdr:cNvSpPr txBox="1"/>
      </xdr:nvSpPr>
      <xdr:spPr>
        <a:xfrm>
          <a:off x="2781475" y="5223934"/>
          <a:ext cx="881592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Interviews</a:t>
          </a:r>
        </a:p>
      </xdr:txBody>
    </xdr:sp>
    <xdr:clientData/>
  </xdr:twoCellAnchor>
  <xdr:twoCellAnchor>
    <xdr:from>
      <xdr:col>6</xdr:col>
      <xdr:colOff>242358</xdr:colOff>
      <xdr:row>24</xdr:row>
      <xdr:rowOff>161397</xdr:rowOff>
    </xdr:from>
    <xdr:to>
      <xdr:col>7</xdr:col>
      <xdr:colOff>506942</xdr:colOff>
      <xdr:row>25</xdr:row>
      <xdr:rowOff>140230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B996498-7D35-4807-986F-A26E63AF7663}"/>
            </a:ext>
          </a:extLst>
        </xdr:cNvPr>
        <xdr:cNvSpPr txBox="1"/>
      </xdr:nvSpPr>
      <xdr:spPr>
        <a:xfrm>
          <a:off x="3899958" y="4733397"/>
          <a:ext cx="874184" cy="169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Hire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Rate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6</xdr:col>
      <xdr:colOff>457200</xdr:colOff>
      <xdr:row>25</xdr:row>
      <xdr:rowOff>188384</xdr:rowOff>
    </xdr:from>
    <xdr:to>
      <xdr:col>7</xdr:col>
      <xdr:colOff>292100</xdr:colOff>
      <xdr:row>28</xdr:row>
      <xdr:rowOff>8467</xdr:rowOff>
    </xdr:to>
    <xdr:sp macro="" textlink="Proposals!H2">
      <xdr:nvSpPr>
        <xdr:cNvPr id="22" name="TextBox 21">
          <a:extLst>
            <a:ext uri="{FF2B5EF4-FFF2-40B4-BE49-F238E27FC236}">
              <a16:creationId xmlns:a16="http://schemas.microsoft.com/office/drawing/2014/main" id="{9C264D63-9884-4B5A-A893-6850EC442675}"/>
            </a:ext>
          </a:extLst>
        </xdr:cNvPr>
        <xdr:cNvSpPr txBox="1"/>
      </xdr:nvSpPr>
      <xdr:spPr>
        <a:xfrm>
          <a:off x="4114800" y="4950884"/>
          <a:ext cx="444500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9466FD18-60E2-4360-978D-F17A988F27C3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279401</xdr:colOff>
      <xdr:row>27</xdr:row>
      <xdr:rowOff>80434</xdr:rowOff>
    </xdr:from>
    <xdr:to>
      <xdr:col>7</xdr:col>
      <xdr:colOff>469900</xdr:colOff>
      <xdr:row>29</xdr:row>
      <xdr:rowOff>38101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312337A5-211E-46CA-B719-9097087CEA14}"/>
            </a:ext>
          </a:extLst>
        </xdr:cNvPr>
        <xdr:cNvSpPr txBox="1"/>
      </xdr:nvSpPr>
      <xdr:spPr>
        <a:xfrm>
          <a:off x="3937001" y="5223934"/>
          <a:ext cx="800099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Hires</a:t>
          </a:r>
        </a:p>
      </xdr:txBody>
    </xdr:sp>
    <xdr:clientData/>
  </xdr:twoCellAnchor>
  <xdr:twoCellAnchor>
    <xdr:from>
      <xdr:col>0</xdr:col>
      <xdr:colOff>104775</xdr:colOff>
      <xdr:row>29</xdr:row>
      <xdr:rowOff>47625</xdr:rowOff>
    </xdr:from>
    <xdr:to>
      <xdr:col>8</xdr:col>
      <xdr:colOff>457200</xdr:colOff>
      <xdr:row>43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432EA88-AAA7-4A2B-A67C-6FB347730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428626</xdr:colOff>
      <xdr:row>7</xdr:row>
      <xdr:rowOff>38100</xdr:rowOff>
    </xdr:from>
    <xdr:to>
      <xdr:col>17</xdr:col>
      <xdr:colOff>542926</xdr:colOff>
      <xdr:row>19</xdr:row>
      <xdr:rowOff>1524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AAB2D2F-8F72-455C-80DF-35756A95B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228600</xdr:colOff>
      <xdr:row>0</xdr:row>
      <xdr:rowOff>67733</xdr:rowOff>
    </xdr:from>
    <xdr:to>
      <xdr:col>14</xdr:col>
      <xdr:colOff>266700</xdr:colOff>
      <xdr:row>3</xdr:row>
      <xdr:rowOff>67733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D9677F6F-BD01-47AB-83C5-B931B4A79CA3}"/>
            </a:ext>
          </a:extLst>
        </xdr:cNvPr>
        <xdr:cNvSpPr/>
      </xdr:nvSpPr>
      <xdr:spPr>
        <a:xfrm>
          <a:off x="7543800" y="67733"/>
          <a:ext cx="1257300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305858</xdr:colOff>
      <xdr:row>0</xdr:row>
      <xdr:rowOff>92603</xdr:rowOff>
    </xdr:from>
    <xdr:to>
      <xdr:col>14</xdr:col>
      <xdr:colOff>182033</xdr:colOff>
      <xdr:row>3</xdr:row>
      <xdr:rowOff>23812</xdr:rowOff>
    </xdr:to>
    <xdr:sp macro="" textlink="Complexity!E2">
      <xdr:nvSpPr>
        <xdr:cNvPr id="28" name="TextBox 27">
          <a:extLst>
            <a:ext uri="{FF2B5EF4-FFF2-40B4-BE49-F238E27FC236}">
              <a16:creationId xmlns:a16="http://schemas.microsoft.com/office/drawing/2014/main" id="{524562E5-3962-4AE7-9CBC-22801FF0D307}"/>
            </a:ext>
          </a:extLst>
        </xdr:cNvPr>
        <xdr:cNvSpPr txBox="1"/>
      </xdr:nvSpPr>
      <xdr:spPr>
        <a:xfrm>
          <a:off x="7621058" y="92603"/>
          <a:ext cx="1095375" cy="5027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3E1048D1-1437-4AA3-B9AE-7E64A6725C3F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Large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485775</xdr:colOff>
      <xdr:row>0</xdr:row>
      <xdr:rowOff>67733</xdr:rowOff>
    </xdr:from>
    <xdr:to>
      <xdr:col>16</xdr:col>
      <xdr:colOff>523875</xdr:colOff>
      <xdr:row>3</xdr:row>
      <xdr:rowOff>67733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9825BDBE-5232-4CDF-BE04-647E02C0B045}"/>
            </a:ext>
          </a:extLst>
        </xdr:cNvPr>
        <xdr:cNvSpPr/>
      </xdr:nvSpPr>
      <xdr:spPr>
        <a:xfrm>
          <a:off x="9020175" y="67733"/>
          <a:ext cx="1257300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563033</xdr:colOff>
      <xdr:row>0</xdr:row>
      <xdr:rowOff>106890</xdr:rowOff>
    </xdr:from>
    <xdr:to>
      <xdr:col>16</xdr:col>
      <xdr:colOff>477308</xdr:colOff>
      <xdr:row>3</xdr:row>
      <xdr:rowOff>9524</xdr:rowOff>
    </xdr:to>
    <xdr:sp macro="" textlink="Complexity!E3">
      <xdr:nvSpPr>
        <xdr:cNvPr id="32" name="TextBox 31">
          <a:extLst>
            <a:ext uri="{FF2B5EF4-FFF2-40B4-BE49-F238E27FC236}">
              <a16:creationId xmlns:a16="http://schemas.microsoft.com/office/drawing/2014/main" id="{8DC723C5-4E99-47FE-925B-E8501E15A183}"/>
            </a:ext>
          </a:extLst>
        </xdr:cNvPr>
        <xdr:cNvSpPr txBox="1"/>
      </xdr:nvSpPr>
      <xdr:spPr>
        <a:xfrm>
          <a:off x="9097433" y="106890"/>
          <a:ext cx="1133475" cy="474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FC74B4EA-957F-41D3-9225-80D26385458A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44.5%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581025</xdr:colOff>
      <xdr:row>0</xdr:row>
      <xdr:rowOff>67733</xdr:rowOff>
    </xdr:from>
    <xdr:to>
      <xdr:col>12</xdr:col>
      <xdr:colOff>9525</xdr:colOff>
      <xdr:row>3</xdr:row>
      <xdr:rowOff>67733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A8FC879F-0A6D-4FFF-BDD7-54954F732D49}"/>
            </a:ext>
          </a:extLst>
        </xdr:cNvPr>
        <xdr:cNvSpPr/>
      </xdr:nvSpPr>
      <xdr:spPr>
        <a:xfrm>
          <a:off x="6067425" y="67733"/>
          <a:ext cx="1257300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24870</xdr:colOff>
      <xdr:row>0</xdr:row>
      <xdr:rowOff>106890</xdr:rowOff>
    </xdr:from>
    <xdr:to>
      <xdr:col>11</xdr:col>
      <xdr:colOff>558270</xdr:colOff>
      <xdr:row>3</xdr:row>
      <xdr:rowOff>9524</xdr:rowOff>
    </xdr:to>
    <xdr:sp macro="" textlink="Scores!D7">
      <xdr:nvSpPr>
        <xdr:cNvPr id="34" name="TextBox 33">
          <a:extLst>
            <a:ext uri="{FF2B5EF4-FFF2-40B4-BE49-F238E27FC236}">
              <a16:creationId xmlns:a16="http://schemas.microsoft.com/office/drawing/2014/main" id="{B68EA5F0-0B98-4E63-94F7-63C2FE7C33E1}"/>
            </a:ext>
          </a:extLst>
        </xdr:cNvPr>
        <xdr:cNvSpPr txBox="1"/>
      </xdr:nvSpPr>
      <xdr:spPr>
        <a:xfrm>
          <a:off x="6120870" y="106890"/>
          <a:ext cx="1143000" cy="474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F7ADFE1B-0EB4-428C-9301-6F8165A6DF6C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0.71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304270</xdr:colOff>
      <xdr:row>3</xdr:row>
      <xdr:rowOff>95250</xdr:rowOff>
    </xdr:from>
    <xdr:to>
      <xdr:col>14</xdr:col>
      <xdr:colOff>183620</xdr:colOff>
      <xdr:row>4</xdr:row>
      <xdr:rowOff>76200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23856C8-394F-41C4-AC21-53A6CF488EBC}"/>
            </a:ext>
          </a:extLst>
        </xdr:cNvPr>
        <xdr:cNvSpPr txBox="1"/>
      </xdr:nvSpPr>
      <xdr:spPr>
        <a:xfrm>
          <a:off x="7619470" y="666750"/>
          <a:ext cx="10985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Most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 Frequent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135466</xdr:colOff>
      <xdr:row>4</xdr:row>
      <xdr:rowOff>62441</xdr:rowOff>
    </xdr:from>
    <xdr:to>
      <xdr:col>14</xdr:col>
      <xdr:colOff>352425</xdr:colOff>
      <xdr:row>6</xdr:row>
      <xdr:rowOff>115358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E26A050-E596-48C0-8D24-5E183C94043C}"/>
            </a:ext>
          </a:extLst>
        </xdr:cNvPr>
        <xdr:cNvSpPr txBox="1"/>
      </xdr:nvSpPr>
      <xdr:spPr>
        <a:xfrm>
          <a:off x="7450666" y="824441"/>
          <a:ext cx="1436159" cy="433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Complexity</a:t>
          </a:r>
        </a:p>
      </xdr:txBody>
    </xdr:sp>
    <xdr:clientData/>
  </xdr:twoCellAnchor>
  <xdr:twoCellAnchor>
    <xdr:from>
      <xdr:col>14</xdr:col>
      <xdr:colOff>509058</xdr:colOff>
      <xdr:row>3</xdr:row>
      <xdr:rowOff>123824</xdr:rowOff>
    </xdr:from>
    <xdr:to>
      <xdr:col>16</xdr:col>
      <xdr:colOff>531282</xdr:colOff>
      <xdr:row>4</xdr:row>
      <xdr:rowOff>57149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95022DF-CCF0-49C8-B4AF-EE5D67E0EC93}"/>
            </a:ext>
          </a:extLst>
        </xdr:cNvPr>
        <xdr:cNvSpPr txBox="1"/>
      </xdr:nvSpPr>
      <xdr:spPr>
        <a:xfrm>
          <a:off x="9043458" y="695324"/>
          <a:ext cx="1241424" cy="123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Most</a:t>
          </a:r>
          <a:r>
            <a:rPr lang="en-US" sz="10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 Frequent Pct</a:t>
          </a:r>
          <a:endParaRPr lang="en-US" sz="10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411691</xdr:colOff>
      <xdr:row>4</xdr:row>
      <xdr:rowOff>62441</xdr:rowOff>
    </xdr:from>
    <xdr:to>
      <xdr:col>17</xdr:col>
      <xdr:colOff>19050</xdr:colOff>
      <xdr:row>6</xdr:row>
      <xdr:rowOff>115358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5882E9-D79A-4BB8-A34D-D306133AA45C}"/>
            </a:ext>
          </a:extLst>
        </xdr:cNvPr>
        <xdr:cNvSpPr txBox="1"/>
      </xdr:nvSpPr>
      <xdr:spPr>
        <a:xfrm>
          <a:off x="8946091" y="824441"/>
          <a:ext cx="1436159" cy="433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t>Out of 100</a:t>
          </a:r>
        </a:p>
      </xdr:txBody>
    </xdr:sp>
    <xdr:clientData/>
  </xdr:twoCellAnchor>
  <xdr:twoCellAnchor>
    <xdr:from>
      <xdr:col>9</xdr:col>
      <xdr:colOff>73023</xdr:colOff>
      <xdr:row>27</xdr:row>
      <xdr:rowOff>89957</xdr:rowOff>
    </xdr:from>
    <xdr:to>
      <xdr:col>17</xdr:col>
      <xdr:colOff>523874</xdr:colOff>
      <xdr:row>43</xdr:row>
      <xdr:rowOff>104775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343B6FF6-5FA9-42E4-A118-0100AAD9449E}"/>
            </a:ext>
          </a:extLst>
        </xdr:cNvPr>
        <xdr:cNvSpPr/>
      </xdr:nvSpPr>
      <xdr:spPr>
        <a:xfrm>
          <a:off x="5559423" y="5233457"/>
          <a:ext cx="5327651" cy="3062818"/>
        </a:xfrm>
        <a:prstGeom prst="roundRect">
          <a:avLst>
            <a:gd name="adj" fmla="val 22358"/>
          </a:avLst>
        </a:prstGeom>
        <a:solidFill>
          <a:schemeClr val="tx1">
            <a:lumMod val="95000"/>
            <a:lumOff val="5000"/>
            <a:alpha val="97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282573</xdr:colOff>
      <xdr:row>23</xdr:row>
      <xdr:rowOff>104775</xdr:rowOff>
    </xdr:from>
    <xdr:to>
      <xdr:col>17</xdr:col>
      <xdr:colOff>257174</xdr:colOff>
      <xdr:row>35</xdr:row>
      <xdr:rowOff>123825</xdr:rowOff>
    </xdr:to>
    <xdr:sp macro="" textlink="">
      <xdr:nvSpPr>
        <xdr:cNvPr id="64" name="Rectangle: Rounded Corners 63">
          <a:extLst>
            <a:ext uri="{FF2B5EF4-FFF2-40B4-BE49-F238E27FC236}">
              <a16:creationId xmlns:a16="http://schemas.microsoft.com/office/drawing/2014/main" id="{5637DB30-8AD8-48FF-B656-2F54024AA1AB}"/>
            </a:ext>
          </a:extLst>
        </xdr:cNvPr>
        <xdr:cNvSpPr/>
      </xdr:nvSpPr>
      <xdr:spPr>
        <a:xfrm>
          <a:off x="5768973" y="4486275"/>
          <a:ext cx="4851401" cy="2305050"/>
        </a:xfrm>
        <a:prstGeom prst="roundRect">
          <a:avLst>
            <a:gd name="adj" fmla="val 22358"/>
          </a:avLst>
        </a:prstGeom>
        <a:gradFill>
          <a:gsLst>
            <a:gs pos="12000">
              <a:schemeClr val="tx2">
                <a:lumMod val="75000"/>
                <a:lumOff val="25000"/>
                <a:alpha val="95000"/>
              </a:schemeClr>
            </a:gs>
            <a:gs pos="33000">
              <a:schemeClr val="tx2">
                <a:lumMod val="90000"/>
                <a:lumOff val="10000"/>
                <a:alpha val="95000"/>
              </a:schemeClr>
            </a:gs>
            <a:gs pos="41000">
              <a:schemeClr val="tx1">
                <a:alpha val="97000"/>
                <a:lumMod val="92000"/>
                <a:lumOff val="8000"/>
              </a:scheme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34923</xdr:colOff>
      <xdr:row>6</xdr:row>
      <xdr:rowOff>131233</xdr:rowOff>
    </xdr:from>
    <xdr:to>
      <xdr:col>26</xdr:col>
      <xdr:colOff>552450</xdr:colOff>
      <xdr:row>21</xdr:row>
      <xdr:rowOff>109009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1F267B15-5947-4A4C-B899-EF19720A4CD0}"/>
            </a:ext>
          </a:extLst>
        </xdr:cNvPr>
        <xdr:cNvSpPr/>
      </xdr:nvSpPr>
      <xdr:spPr>
        <a:xfrm>
          <a:off x="11083923" y="1274233"/>
          <a:ext cx="5428194" cy="2835276"/>
        </a:xfrm>
        <a:prstGeom prst="roundRect">
          <a:avLst>
            <a:gd name="adj" fmla="val 22358"/>
          </a:avLst>
        </a:prstGeom>
        <a:solidFill>
          <a:schemeClr val="tx1">
            <a:lumMod val="95000"/>
            <a:lumOff val="5000"/>
            <a:alpha val="97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244473</xdr:colOff>
      <xdr:row>2</xdr:row>
      <xdr:rowOff>4233</xdr:rowOff>
    </xdr:from>
    <xdr:to>
      <xdr:col>26</xdr:col>
      <xdr:colOff>257530</xdr:colOff>
      <xdr:row>15</xdr:row>
      <xdr:rowOff>41275</xdr:rowOff>
    </xdr:to>
    <xdr:sp macro="" textlink="">
      <xdr:nvSpPr>
        <xdr:cNvPr id="68" name="Rectangle: Rounded Corners 67">
          <a:extLst>
            <a:ext uri="{FF2B5EF4-FFF2-40B4-BE49-F238E27FC236}">
              <a16:creationId xmlns:a16="http://schemas.microsoft.com/office/drawing/2014/main" id="{84B2B57B-C4D1-430A-BE58-6A991515B786}"/>
            </a:ext>
          </a:extLst>
        </xdr:cNvPr>
        <xdr:cNvSpPr/>
      </xdr:nvSpPr>
      <xdr:spPr>
        <a:xfrm>
          <a:off x="11293473" y="385233"/>
          <a:ext cx="4923724" cy="2513542"/>
        </a:xfrm>
        <a:prstGeom prst="roundRect">
          <a:avLst>
            <a:gd name="adj" fmla="val 22358"/>
          </a:avLst>
        </a:prstGeom>
        <a:gradFill>
          <a:gsLst>
            <a:gs pos="12000">
              <a:schemeClr val="tx2">
                <a:lumMod val="75000"/>
                <a:lumOff val="25000"/>
                <a:alpha val="95000"/>
              </a:schemeClr>
            </a:gs>
            <a:gs pos="33000">
              <a:schemeClr val="tx2">
                <a:lumMod val="90000"/>
                <a:lumOff val="10000"/>
                <a:alpha val="95000"/>
              </a:schemeClr>
            </a:gs>
            <a:gs pos="41000">
              <a:schemeClr val="tx1">
                <a:alpha val="97000"/>
                <a:lumMod val="92000"/>
                <a:lumOff val="8000"/>
              </a:scheme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504824</xdr:colOff>
      <xdr:row>0</xdr:row>
      <xdr:rowOff>80433</xdr:rowOff>
    </xdr:from>
    <xdr:to>
      <xdr:col>20</xdr:col>
      <xdr:colOff>95249</xdr:colOff>
      <xdr:row>3</xdr:row>
      <xdr:rowOff>80433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DBDBF2F8-89C7-4D07-A9C4-376F0579BF91}"/>
            </a:ext>
          </a:extLst>
        </xdr:cNvPr>
        <xdr:cNvSpPr/>
      </xdr:nvSpPr>
      <xdr:spPr>
        <a:xfrm>
          <a:off x="11553824" y="80433"/>
          <a:ext cx="818092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533931</xdr:colOff>
      <xdr:row>0</xdr:row>
      <xdr:rowOff>119590</xdr:rowOff>
    </xdr:from>
    <xdr:to>
      <xdr:col>20</xdr:col>
      <xdr:colOff>28046</xdr:colOff>
      <xdr:row>3</xdr:row>
      <xdr:rowOff>22224</xdr:rowOff>
    </xdr:to>
    <xdr:sp macro="" textlink="Costs!B31">
      <xdr:nvSpPr>
        <xdr:cNvPr id="70" name="TextBox 69">
          <a:extLst>
            <a:ext uri="{FF2B5EF4-FFF2-40B4-BE49-F238E27FC236}">
              <a16:creationId xmlns:a16="http://schemas.microsoft.com/office/drawing/2014/main" id="{7D94DD20-747B-4C40-AE59-82016D964EB5}"/>
            </a:ext>
          </a:extLst>
        </xdr:cNvPr>
        <xdr:cNvSpPr txBox="1"/>
      </xdr:nvSpPr>
      <xdr:spPr>
        <a:xfrm>
          <a:off x="11582931" y="119590"/>
          <a:ext cx="721782" cy="474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A25F0D04-2765-42CB-B8DE-D2D7DB0A9C01}" type="TxLink">
            <a:rPr lang="en-US" sz="3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195</a:t>
          </a:fld>
          <a:endParaRPr lang="en-US" sz="3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114300</xdr:colOff>
      <xdr:row>27</xdr:row>
      <xdr:rowOff>152403</xdr:rowOff>
    </xdr:from>
    <xdr:to>
      <xdr:col>17</xdr:col>
      <xdr:colOff>400049</xdr:colOff>
      <xdr:row>34</xdr:row>
      <xdr:rowOff>76201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CF0FED44-45B7-4B01-9476-AA7B1CB34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285750</xdr:colOff>
      <xdr:row>22</xdr:row>
      <xdr:rowOff>1058</xdr:rowOff>
    </xdr:from>
    <xdr:to>
      <xdr:col>17</xdr:col>
      <xdr:colOff>232919</xdr:colOff>
      <xdr:row>24</xdr:row>
      <xdr:rowOff>114300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62413DD8-9E42-4D59-95ED-1E5496AB8B52}"/>
            </a:ext>
          </a:extLst>
        </xdr:cNvPr>
        <xdr:cNvSpPr/>
      </xdr:nvSpPr>
      <xdr:spPr>
        <a:xfrm>
          <a:off x="8210550" y="4192058"/>
          <a:ext cx="2385569" cy="494242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350995</xdr:colOff>
      <xdr:row>22</xdr:row>
      <xdr:rowOff>40215</xdr:rowOff>
    </xdr:from>
    <xdr:to>
      <xdr:col>17</xdr:col>
      <xdr:colOff>171450</xdr:colOff>
      <xdr:row>24</xdr:row>
      <xdr:rowOff>69253</xdr:rowOff>
    </xdr:to>
    <xdr:sp macro="" textlink="Keyword!N7">
      <xdr:nvSpPr>
        <xdr:cNvPr id="77" name="TextBox 76">
          <a:extLst>
            <a:ext uri="{FF2B5EF4-FFF2-40B4-BE49-F238E27FC236}">
              <a16:creationId xmlns:a16="http://schemas.microsoft.com/office/drawing/2014/main" id="{5A54FB16-3A91-4283-B905-EC9AE4E0C6D9}"/>
            </a:ext>
          </a:extLst>
        </xdr:cNvPr>
        <xdr:cNvSpPr txBox="1"/>
      </xdr:nvSpPr>
      <xdr:spPr>
        <a:xfrm>
          <a:off x="8275795" y="4231215"/>
          <a:ext cx="2258855" cy="41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998800D9-0559-4090-A41D-223079BDE3B4}" type="TxLink">
            <a:rPr lang="en-US" sz="1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Google Sheets Sales Dashboard</a:t>
          </a:fld>
          <a:endParaRPr lang="en-US" sz="1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544326</xdr:colOff>
      <xdr:row>24</xdr:row>
      <xdr:rowOff>76199</xdr:rowOff>
    </xdr:from>
    <xdr:to>
      <xdr:col>13</xdr:col>
      <xdr:colOff>54319</xdr:colOff>
      <xdr:row>25</xdr:row>
      <xdr:rowOff>38099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B5394C3-61FC-4D42-AC64-18EFAECCAE0C}"/>
            </a:ext>
          </a:extLst>
        </xdr:cNvPr>
        <xdr:cNvSpPr txBox="1"/>
      </xdr:nvSpPr>
      <xdr:spPr>
        <a:xfrm>
          <a:off x="6030726" y="4648199"/>
          <a:ext cx="1948393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Search Next by Priority Score</a:t>
          </a:r>
        </a:p>
      </xdr:txBody>
    </xdr:sp>
    <xdr:clientData/>
  </xdr:twoCellAnchor>
  <xdr:twoCellAnchor>
    <xdr:from>
      <xdr:col>9</xdr:col>
      <xdr:colOff>257175</xdr:colOff>
      <xdr:row>22</xdr:row>
      <xdr:rowOff>1058</xdr:rowOff>
    </xdr:from>
    <xdr:to>
      <xdr:col>13</xdr:col>
      <xdr:colOff>204344</xdr:colOff>
      <xdr:row>24</xdr:row>
      <xdr:rowOff>114300</xdr:rowOff>
    </xdr:to>
    <xdr:sp macro="" textlink="">
      <xdr:nvSpPr>
        <xdr:cNvPr id="117" name="Rectangle: Rounded Corners 116">
          <a:extLst>
            <a:ext uri="{FF2B5EF4-FFF2-40B4-BE49-F238E27FC236}">
              <a16:creationId xmlns:a16="http://schemas.microsoft.com/office/drawing/2014/main" id="{12619D84-2714-4EF0-BF4C-E4C4F99A249E}"/>
            </a:ext>
          </a:extLst>
        </xdr:cNvPr>
        <xdr:cNvSpPr/>
      </xdr:nvSpPr>
      <xdr:spPr>
        <a:xfrm>
          <a:off x="5743575" y="4192058"/>
          <a:ext cx="2385569" cy="494242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322420</xdr:colOff>
      <xdr:row>22</xdr:row>
      <xdr:rowOff>40215</xdr:rowOff>
    </xdr:from>
    <xdr:to>
      <xdr:col>13</xdr:col>
      <xdr:colOff>142875</xdr:colOff>
      <xdr:row>24</xdr:row>
      <xdr:rowOff>69253</xdr:rowOff>
    </xdr:to>
    <xdr:sp macro="" textlink="Keyword!N4">
      <xdr:nvSpPr>
        <xdr:cNvPr id="118" name="TextBox 117">
          <a:extLst>
            <a:ext uri="{FF2B5EF4-FFF2-40B4-BE49-F238E27FC236}">
              <a16:creationId xmlns:a16="http://schemas.microsoft.com/office/drawing/2014/main" id="{D8B6BA35-0A14-40AE-BF8B-7521370D734E}"/>
            </a:ext>
          </a:extLst>
        </xdr:cNvPr>
        <xdr:cNvSpPr txBox="1"/>
      </xdr:nvSpPr>
      <xdr:spPr>
        <a:xfrm>
          <a:off x="5808820" y="4231215"/>
          <a:ext cx="2258855" cy="41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045A9619-C749-43BD-AC3B-83A202024ED8}" type="TxLink">
            <a:rPr lang="en-US" sz="16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Power BI Sales Dashboard</a:t>
          </a:fld>
          <a:endParaRPr lang="en-US" sz="16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572901</xdr:colOff>
      <xdr:row>24</xdr:row>
      <xdr:rowOff>80962</xdr:rowOff>
    </xdr:from>
    <xdr:to>
      <xdr:col>17</xdr:col>
      <xdr:colOff>82894</xdr:colOff>
      <xdr:row>25</xdr:row>
      <xdr:rowOff>33337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DB47946A-91F1-4A54-B168-DD68DCBED004}"/>
            </a:ext>
          </a:extLst>
        </xdr:cNvPr>
        <xdr:cNvSpPr txBox="1"/>
      </xdr:nvSpPr>
      <xdr:spPr>
        <a:xfrm>
          <a:off x="8497701" y="4652962"/>
          <a:ext cx="1948393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0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Best Connect Efficiency</a:t>
          </a:r>
        </a:p>
      </xdr:txBody>
    </xdr:sp>
    <xdr:clientData/>
  </xdr:twoCellAnchor>
  <xdr:twoCellAnchor>
    <xdr:from>
      <xdr:col>10</xdr:col>
      <xdr:colOff>408860</xdr:colOff>
      <xdr:row>25</xdr:row>
      <xdr:rowOff>35984</xdr:rowOff>
    </xdr:from>
    <xdr:to>
      <xdr:col>12</xdr:col>
      <xdr:colOff>189785</xdr:colOff>
      <xdr:row>27</xdr:row>
      <xdr:rowOff>46567</xdr:rowOff>
    </xdr:to>
    <xdr:sp macro="" textlink="Keyword!N5">
      <xdr:nvSpPr>
        <xdr:cNvPr id="123" name="TextBox 122">
          <a:extLst>
            <a:ext uri="{FF2B5EF4-FFF2-40B4-BE49-F238E27FC236}">
              <a16:creationId xmlns:a16="http://schemas.microsoft.com/office/drawing/2014/main" id="{6DCD9A5D-5470-4948-9C2B-4B1E6E11E259}"/>
            </a:ext>
          </a:extLst>
        </xdr:cNvPr>
        <xdr:cNvSpPr txBox="1"/>
      </xdr:nvSpPr>
      <xdr:spPr>
        <a:xfrm>
          <a:off x="6504860" y="4798484"/>
          <a:ext cx="1000125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E05CA1D9-7A30-44D2-9AA0-526CC3B52D9C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0.7321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189785</xdr:colOff>
      <xdr:row>26</xdr:row>
      <xdr:rowOff>80434</xdr:rowOff>
    </xdr:from>
    <xdr:to>
      <xdr:col>12</xdr:col>
      <xdr:colOff>408860</xdr:colOff>
      <xdr:row>28</xdr:row>
      <xdr:rowOff>38101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C4A5961-12D0-4283-9085-2D9E6747980B}"/>
            </a:ext>
          </a:extLst>
        </xdr:cNvPr>
        <xdr:cNvSpPr txBox="1"/>
      </xdr:nvSpPr>
      <xdr:spPr>
        <a:xfrm>
          <a:off x="6285785" y="5033434"/>
          <a:ext cx="1438275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Avg Priority Score</a:t>
          </a:r>
        </a:p>
      </xdr:txBody>
    </xdr:sp>
    <xdr:clientData/>
  </xdr:twoCellAnchor>
  <xdr:twoCellAnchor>
    <xdr:from>
      <xdr:col>13</xdr:col>
      <xdr:colOff>608885</xdr:colOff>
      <xdr:row>26</xdr:row>
      <xdr:rowOff>99484</xdr:rowOff>
    </xdr:from>
    <xdr:to>
      <xdr:col>17</xdr:col>
      <xdr:colOff>46910</xdr:colOff>
      <xdr:row>28</xdr:row>
      <xdr:rowOff>57151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1E86FA37-0D54-4414-97BB-447059D5DDEE}"/>
            </a:ext>
          </a:extLst>
        </xdr:cNvPr>
        <xdr:cNvSpPr txBox="1"/>
      </xdr:nvSpPr>
      <xdr:spPr>
        <a:xfrm>
          <a:off x="8533685" y="5052484"/>
          <a:ext cx="1876425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r>
            <a:rPr lang="en-US" sz="11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Avg Connect Efficiency</a:t>
          </a:r>
        </a:p>
      </xdr:txBody>
    </xdr:sp>
    <xdr:clientData/>
  </xdr:twoCellAnchor>
  <xdr:twoCellAnchor>
    <xdr:from>
      <xdr:col>14</xdr:col>
      <xdr:colOff>399335</xdr:colOff>
      <xdr:row>25</xdr:row>
      <xdr:rowOff>35984</xdr:rowOff>
    </xdr:from>
    <xdr:to>
      <xdr:col>16</xdr:col>
      <xdr:colOff>180260</xdr:colOff>
      <xdr:row>27</xdr:row>
      <xdr:rowOff>46567</xdr:rowOff>
    </xdr:to>
    <xdr:sp macro="" textlink="Keyword!N8">
      <xdr:nvSpPr>
        <xdr:cNvPr id="127" name="TextBox 126">
          <a:extLst>
            <a:ext uri="{FF2B5EF4-FFF2-40B4-BE49-F238E27FC236}">
              <a16:creationId xmlns:a16="http://schemas.microsoft.com/office/drawing/2014/main" id="{33A79E9A-AC44-4703-9DEA-8FA7E0B63E22}"/>
            </a:ext>
          </a:extLst>
        </xdr:cNvPr>
        <xdr:cNvSpPr txBox="1"/>
      </xdr:nvSpPr>
      <xdr:spPr>
        <a:xfrm>
          <a:off x="8933735" y="4798484"/>
          <a:ext cx="1000125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8A098FA7-1706-4709-BFE5-E9AC620F71C0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0.0557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285750</xdr:colOff>
      <xdr:row>0</xdr:row>
      <xdr:rowOff>80433</xdr:rowOff>
    </xdr:from>
    <xdr:to>
      <xdr:col>25</xdr:col>
      <xdr:colOff>605464</xdr:colOff>
      <xdr:row>3</xdr:row>
      <xdr:rowOff>80433</xdr:rowOff>
    </xdr:to>
    <xdr:sp macro="" textlink="">
      <xdr:nvSpPr>
        <xdr:cNvPr id="141" name="Rectangle: Rounded Corners 140">
          <a:extLst>
            <a:ext uri="{FF2B5EF4-FFF2-40B4-BE49-F238E27FC236}">
              <a16:creationId xmlns:a16="http://schemas.microsoft.com/office/drawing/2014/main" id="{CECD78D0-9839-4AE9-845F-E9BB12C9B297}"/>
            </a:ext>
          </a:extLst>
        </xdr:cNvPr>
        <xdr:cNvSpPr/>
      </xdr:nvSpPr>
      <xdr:spPr>
        <a:xfrm>
          <a:off x="15017750" y="80433"/>
          <a:ext cx="933547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305371</xdr:colOff>
      <xdr:row>0</xdr:row>
      <xdr:rowOff>129115</xdr:rowOff>
    </xdr:from>
    <xdr:to>
      <xdr:col>25</xdr:col>
      <xdr:colOff>533561</xdr:colOff>
      <xdr:row>3</xdr:row>
      <xdr:rowOff>31749</xdr:rowOff>
    </xdr:to>
    <xdr:sp macro="" textlink="Costs!B42">
      <xdr:nvSpPr>
        <xdr:cNvPr id="142" name="TextBox 141">
          <a:extLst>
            <a:ext uri="{FF2B5EF4-FFF2-40B4-BE49-F238E27FC236}">
              <a16:creationId xmlns:a16="http://schemas.microsoft.com/office/drawing/2014/main" id="{C12C60D8-364B-4E81-A5C2-962483E61E1E}"/>
            </a:ext>
          </a:extLst>
        </xdr:cNvPr>
        <xdr:cNvSpPr txBox="1"/>
      </xdr:nvSpPr>
      <xdr:spPr>
        <a:xfrm>
          <a:off x="15037371" y="129115"/>
          <a:ext cx="842023" cy="474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B79B09D8-C974-4AB7-B6FC-A216F15042AE}" type="TxLink">
            <a:rPr lang="en-US" sz="28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$0.36 </a:t>
          </a:fld>
          <a:endParaRPr lang="en-US" sz="28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144707</xdr:colOff>
      <xdr:row>0</xdr:row>
      <xdr:rowOff>80433</xdr:rowOff>
    </xdr:from>
    <xdr:to>
      <xdr:col>22</xdr:col>
      <xdr:colOff>97082</xdr:colOff>
      <xdr:row>3</xdr:row>
      <xdr:rowOff>80433</xdr:rowOff>
    </xdr:to>
    <xdr:sp macro="" textlink="">
      <xdr:nvSpPr>
        <xdr:cNvPr id="143" name="Rectangle: Rounded Corners 142">
          <a:extLst>
            <a:ext uri="{FF2B5EF4-FFF2-40B4-BE49-F238E27FC236}">
              <a16:creationId xmlns:a16="http://schemas.microsoft.com/office/drawing/2014/main" id="{C480B32E-AE77-456D-8B86-E88EFBDCF91D}"/>
            </a:ext>
          </a:extLst>
        </xdr:cNvPr>
        <xdr:cNvSpPr/>
      </xdr:nvSpPr>
      <xdr:spPr>
        <a:xfrm>
          <a:off x="12421374" y="80433"/>
          <a:ext cx="1180041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180975</xdr:colOff>
      <xdr:row>0</xdr:row>
      <xdr:rowOff>110065</xdr:rowOff>
    </xdr:from>
    <xdr:to>
      <xdr:col>22</xdr:col>
      <xdr:colOff>57151</xdr:colOff>
      <xdr:row>3</xdr:row>
      <xdr:rowOff>12699</xdr:rowOff>
    </xdr:to>
    <xdr:sp macro="" textlink="Costs!B39">
      <xdr:nvSpPr>
        <xdr:cNvPr id="144" name="TextBox 143">
          <a:extLst>
            <a:ext uri="{FF2B5EF4-FFF2-40B4-BE49-F238E27FC236}">
              <a16:creationId xmlns:a16="http://schemas.microsoft.com/office/drawing/2014/main" id="{12088503-BBB6-4879-9C07-85F0ADE916F5}"/>
            </a:ext>
          </a:extLst>
        </xdr:cNvPr>
        <xdr:cNvSpPr txBox="1"/>
      </xdr:nvSpPr>
      <xdr:spPr>
        <a:xfrm>
          <a:off x="12457642" y="110065"/>
          <a:ext cx="1103842" cy="474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42960322-46BE-4320-BA76-56C4B1E7A58D}" type="TxLink">
            <a:rPr lang="en-US" sz="28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$127.88 </a:t>
          </a:fld>
          <a:endParaRPr lang="en-US" sz="28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146540</xdr:colOff>
      <xdr:row>0</xdr:row>
      <xdr:rowOff>80433</xdr:rowOff>
    </xdr:from>
    <xdr:to>
      <xdr:col>24</xdr:col>
      <xdr:colOff>236293</xdr:colOff>
      <xdr:row>3</xdr:row>
      <xdr:rowOff>80433</xdr:rowOff>
    </xdr:to>
    <xdr:sp macro="" textlink="">
      <xdr:nvSpPr>
        <xdr:cNvPr id="145" name="Rectangle: Rounded Corners 144">
          <a:extLst>
            <a:ext uri="{FF2B5EF4-FFF2-40B4-BE49-F238E27FC236}">
              <a16:creationId xmlns:a16="http://schemas.microsoft.com/office/drawing/2014/main" id="{1B9B2D47-027E-475A-B5C5-25A5ABB5B0CC}"/>
            </a:ext>
          </a:extLst>
        </xdr:cNvPr>
        <xdr:cNvSpPr/>
      </xdr:nvSpPr>
      <xdr:spPr>
        <a:xfrm>
          <a:off x="13650873" y="80433"/>
          <a:ext cx="1317420" cy="571500"/>
        </a:xfrm>
        <a:prstGeom prst="roundRect">
          <a:avLst>
            <a:gd name="adj" fmla="val 22358"/>
          </a:avLst>
        </a:prstGeom>
        <a:gradFill>
          <a:gsLst>
            <a:gs pos="17000">
              <a:srgbClr val="00B050"/>
            </a:gs>
            <a:gs pos="44000">
              <a:srgbClr val="00B050"/>
            </a:gs>
            <a:gs pos="68000">
              <a:srgbClr val="215F9A">
                <a:alpha val="96863"/>
              </a:srgbClr>
            </a:gs>
          </a:gsLst>
          <a:lin ang="5400000" scaled="1"/>
        </a:gradFill>
        <a:ln>
          <a:noFill/>
        </a:ln>
        <a:effectLst>
          <a:innerShdw blurRad="571500">
            <a:prstClr val="black">
              <a:alpha val="25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180975</xdr:colOff>
      <xdr:row>0</xdr:row>
      <xdr:rowOff>119590</xdr:rowOff>
    </xdr:from>
    <xdr:to>
      <xdr:col>24</xdr:col>
      <xdr:colOff>190501</xdr:colOff>
      <xdr:row>3</xdr:row>
      <xdr:rowOff>22224</xdr:rowOff>
    </xdr:to>
    <xdr:sp macro="" textlink="Costs!B38">
      <xdr:nvSpPr>
        <xdr:cNvPr id="146" name="TextBox 145">
          <a:extLst>
            <a:ext uri="{FF2B5EF4-FFF2-40B4-BE49-F238E27FC236}">
              <a16:creationId xmlns:a16="http://schemas.microsoft.com/office/drawing/2014/main" id="{21E935E0-4215-4A73-999C-835B61F02EB7}"/>
            </a:ext>
          </a:extLst>
        </xdr:cNvPr>
        <xdr:cNvSpPr txBox="1"/>
      </xdr:nvSpPr>
      <xdr:spPr>
        <a:xfrm>
          <a:off x="13685308" y="119590"/>
          <a:ext cx="1237193" cy="474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B51CF135-41C7-4D0B-B56C-DDD9FD098744}" type="TxLink">
            <a:rPr lang="en-US" sz="2800" b="0" i="0" u="none" strike="noStrike">
              <a:solidFill>
                <a:schemeClr val="accent6">
                  <a:lumMod val="20000"/>
                  <a:lumOff val="8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On Track</a:t>
          </a:fld>
          <a:endParaRPr lang="en-US" sz="2800" b="0" i="0" u="none" strike="noStrike">
            <a:solidFill>
              <a:schemeClr val="accent6">
                <a:lumMod val="20000"/>
                <a:lumOff val="8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180976</xdr:colOff>
      <xdr:row>3</xdr:row>
      <xdr:rowOff>39160</xdr:rowOff>
    </xdr:from>
    <xdr:to>
      <xdr:col>20</xdr:col>
      <xdr:colOff>342900</xdr:colOff>
      <xdr:row>4</xdr:row>
      <xdr:rowOff>4234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81114DF-3833-4CCF-BAA6-FF98CD17943D}"/>
            </a:ext>
          </a:extLst>
        </xdr:cNvPr>
        <xdr:cNvSpPr txBox="1"/>
      </xdr:nvSpPr>
      <xdr:spPr>
        <a:xfrm>
          <a:off x="11229976" y="610660"/>
          <a:ext cx="1389591" cy="155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MTD</a:t>
          </a:r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Connects Used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19</xdr:col>
      <xdr:colOff>0</xdr:colOff>
      <xdr:row>4</xdr:row>
      <xdr:rowOff>11642</xdr:rowOff>
    </xdr:from>
    <xdr:to>
      <xdr:col>19</xdr:col>
      <xdr:colOff>591161</xdr:colOff>
      <xdr:row>6</xdr:row>
      <xdr:rowOff>22225</xdr:rowOff>
    </xdr:to>
    <xdr:sp macro="" textlink="Costs!B14">
      <xdr:nvSpPr>
        <xdr:cNvPr id="154" name="TextBox 153">
          <a:extLst>
            <a:ext uri="{FF2B5EF4-FFF2-40B4-BE49-F238E27FC236}">
              <a16:creationId xmlns:a16="http://schemas.microsoft.com/office/drawing/2014/main" id="{05F13607-D0FD-4338-B304-277D440D9AC2}"/>
            </a:ext>
          </a:extLst>
        </xdr:cNvPr>
        <xdr:cNvSpPr txBox="1"/>
      </xdr:nvSpPr>
      <xdr:spPr>
        <a:xfrm>
          <a:off x="11662833" y="773642"/>
          <a:ext cx="591161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FE2FF397-FFB5-4840-91E1-B77CB20B74D2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295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123826</xdr:colOff>
      <xdr:row>5</xdr:row>
      <xdr:rowOff>122767</xdr:rowOff>
    </xdr:from>
    <xdr:to>
      <xdr:col>20</xdr:col>
      <xdr:colOff>361950</xdr:colOff>
      <xdr:row>7</xdr:row>
      <xdr:rowOff>80434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4F405299-D203-4D09-A1C5-FA4D141E2211}"/>
            </a:ext>
          </a:extLst>
        </xdr:cNvPr>
        <xdr:cNvSpPr txBox="1"/>
      </xdr:nvSpPr>
      <xdr:spPr>
        <a:xfrm>
          <a:off x="11172826" y="1075267"/>
          <a:ext cx="1465791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Total</a:t>
          </a:r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 Connects Used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85726</xdr:colOff>
      <xdr:row>3</xdr:row>
      <xdr:rowOff>39160</xdr:rowOff>
    </xdr:from>
    <xdr:to>
      <xdr:col>26</xdr:col>
      <xdr:colOff>247650</xdr:colOff>
      <xdr:row>4</xdr:row>
      <xdr:rowOff>4234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CE1AA0F-6061-43CD-9A1F-79A9E0ACCEF7}"/>
            </a:ext>
          </a:extLst>
        </xdr:cNvPr>
        <xdr:cNvSpPr txBox="1"/>
      </xdr:nvSpPr>
      <xdr:spPr>
        <a:xfrm>
          <a:off x="14817726" y="610660"/>
          <a:ext cx="1389591" cy="155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Net</a:t>
          </a:r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 Value Per Connect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24</xdr:col>
      <xdr:colOff>344366</xdr:colOff>
      <xdr:row>4</xdr:row>
      <xdr:rowOff>11642</xdr:rowOff>
    </xdr:from>
    <xdr:to>
      <xdr:col>25</xdr:col>
      <xdr:colOff>542071</xdr:colOff>
      <xdr:row>6</xdr:row>
      <xdr:rowOff>22225</xdr:rowOff>
    </xdr:to>
    <xdr:sp macro="" textlink="Costs!B41">
      <xdr:nvSpPr>
        <xdr:cNvPr id="157" name="TextBox 156">
          <a:extLst>
            <a:ext uri="{FF2B5EF4-FFF2-40B4-BE49-F238E27FC236}">
              <a16:creationId xmlns:a16="http://schemas.microsoft.com/office/drawing/2014/main" id="{4968C8EF-95C9-451D-8915-BD3E11D7FB85}"/>
            </a:ext>
          </a:extLst>
        </xdr:cNvPr>
        <xdr:cNvSpPr txBox="1"/>
      </xdr:nvSpPr>
      <xdr:spPr>
        <a:xfrm>
          <a:off x="15076366" y="773642"/>
          <a:ext cx="811538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CACBEC04-B08C-4D25-8137-2E5ADCA326C2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$0.51 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47626</xdr:colOff>
      <xdr:row>5</xdr:row>
      <xdr:rowOff>122767</xdr:rowOff>
    </xdr:from>
    <xdr:to>
      <xdr:col>26</xdr:col>
      <xdr:colOff>285750</xdr:colOff>
      <xdr:row>7</xdr:row>
      <xdr:rowOff>80434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E9F34777-E9DD-4143-B9C6-0D588443D943}"/>
            </a:ext>
          </a:extLst>
        </xdr:cNvPr>
        <xdr:cNvSpPr txBox="1"/>
      </xdr:nvSpPr>
      <xdr:spPr>
        <a:xfrm>
          <a:off x="14779626" y="1075267"/>
          <a:ext cx="1465791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Revenue</a:t>
          </a:r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 Per Connect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66676</xdr:colOff>
      <xdr:row>3</xdr:row>
      <xdr:rowOff>39160</xdr:rowOff>
    </xdr:from>
    <xdr:to>
      <xdr:col>24</xdr:col>
      <xdr:colOff>228600</xdr:colOff>
      <xdr:row>4</xdr:row>
      <xdr:rowOff>4234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526B920-54A4-4713-98F9-76289C769AF3}"/>
            </a:ext>
          </a:extLst>
        </xdr:cNvPr>
        <xdr:cNvSpPr txBox="1"/>
      </xdr:nvSpPr>
      <xdr:spPr>
        <a:xfrm>
          <a:off x="13571009" y="610660"/>
          <a:ext cx="1389591" cy="155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Connect Budget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22</xdr:col>
      <xdr:colOff>277019</xdr:colOff>
      <xdr:row>4</xdr:row>
      <xdr:rowOff>11642</xdr:rowOff>
    </xdr:from>
    <xdr:to>
      <xdr:col>24</xdr:col>
      <xdr:colOff>63011</xdr:colOff>
      <xdr:row>6</xdr:row>
      <xdr:rowOff>22225</xdr:rowOff>
    </xdr:to>
    <xdr:sp macro="" textlink="Costs!B37">
      <xdr:nvSpPr>
        <xdr:cNvPr id="160" name="TextBox 159">
          <a:extLst>
            <a:ext uri="{FF2B5EF4-FFF2-40B4-BE49-F238E27FC236}">
              <a16:creationId xmlns:a16="http://schemas.microsoft.com/office/drawing/2014/main" id="{86289D83-8FD0-4463-9342-4FAA448F0D42}"/>
            </a:ext>
          </a:extLst>
        </xdr:cNvPr>
        <xdr:cNvSpPr txBox="1"/>
      </xdr:nvSpPr>
      <xdr:spPr>
        <a:xfrm>
          <a:off x="13781352" y="773642"/>
          <a:ext cx="1013659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6EFED157-635C-465C-AF40-ABB2A9483BF2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$43.95 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57151</xdr:colOff>
      <xdr:row>5</xdr:row>
      <xdr:rowOff>122767</xdr:rowOff>
    </xdr:from>
    <xdr:to>
      <xdr:col>24</xdr:col>
      <xdr:colOff>295275</xdr:colOff>
      <xdr:row>7</xdr:row>
      <xdr:rowOff>80434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C7CA02E9-3119-48BB-806C-8C72737B9618}"/>
            </a:ext>
          </a:extLst>
        </xdr:cNvPr>
        <xdr:cNvSpPr txBox="1"/>
      </xdr:nvSpPr>
      <xdr:spPr>
        <a:xfrm>
          <a:off x="13561484" y="1075267"/>
          <a:ext cx="1465791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Projected</a:t>
          </a:r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 Spend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279157</xdr:colOff>
      <xdr:row>3</xdr:row>
      <xdr:rowOff>44656</xdr:rowOff>
    </xdr:from>
    <xdr:to>
      <xdr:col>21</xdr:col>
      <xdr:colOff>608134</xdr:colOff>
      <xdr:row>3</xdr:row>
      <xdr:rowOff>189239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8B01EE9-5BB9-4590-9056-62C8CF846F2F}"/>
            </a:ext>
          </a:extLst>
        </xdr:cNvPr>
        <xdr:cNvSpPr txBox="1"/>
      </xdr:nvSpPr>
      <xdr:spPr>
        <a:xfrm>
          <a:off x="12555824" y="616156"/>
          <a:ext cx="942810" cy="144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</a:rPr>
            <a:t>Monthly ROI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</a:endParaRPr>
        </a:p>
      </xdr:txBody>
    </xdr:sp>
    <xdr:clientData/>
  </xdr:twoCellAnchor>
  <xdr:twoCellAnchor>
    <xdr:from>
      <xdr:col>20</xdr:col>
      <xdr:colOff>212480</xdr:colOff>
      <xdr:row>4</xdr:row>
      <xdr:rowOff>11642</xdr:rowOff>
    </xdr:from>
    <xdr:to>
      <xdr:col>22</xdr:col>
      <xdr:colOff>89387</xdr:colOff>
      <xdr:row>6</xdr:row>
      <xdr:rowOff>22225</xdr:rowOff>
    </xdr:to>
    <xdr:sp macro="" textlink="Costs!B35">
      <xdr:nvSpPr>
        <xdr:cNvPr id="163" name="TextBox 162">
          <a:extLst>
            <a:ext uri="{FF2B5EF4-FFF2-40B4-BE49-F238E27FC236}">
              <a16:creationId xmlns:a16="http://schemas.microsoft.com/office/drawing/2014/main" id="{B42ABDE5-B737-479F-9E77-D22432667560}"/>
            </a:ext>
          </a:extLst>
        </xdr:cNvPr>
        <xdr:cNvSpPr txBox="1"/>
      </xdr:nvSpPr>
      <xdr:spPr>
        <a:xfrm>
          <a:off x="12489147" y="773642"/>
          <a:ext cx="1104573" cy="391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marL="0" indent="0"/>
          <a:fld id="{B3C0A19C-F62B-4DCC-8D0C-37A4CA10C694}" type="TxLink">
            <a:rPr lang="en-US" sz="2800" b="0" i="0" u="none" strike="noStrike">
              <a:solidFill>
                <a:schemeClr val="tx2">
                  <a:lumMod val="10000"/>
                  <a:lumOff val="90000"/>
                </a:schemeClr>
              </a:solidFill>
              <a:latin typeface="Rockwell Condensed" panose="02060603050405020104" pitchFamily="18" charset="0"/>
              <a:ea typeface="+mn-ea"/>
              <a:cs typeface="+mn-cs"/>
            </a:rPr>
            <a:pPr marL="0" indent="0"/>
            <a:t>$150.00 </a:t>
          </a:fld>
          <a:endParaRPr lang="en-US" sz="2800" b="0" i="0" u="none" strike="noStrike">
            <a:solidFill>
              <a:schemeClr val="tx2">
                <a:lumMod val="10000"/>
                <a:lumOff val="90000"/>
              </a:schemeClr>
            </a:solidFill>
            <a:latin typeface="Rockwell Condensed" panose="020606030504050201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24180</xdr:colOff>
      <xdr:row>5</xdr:row>
      <xdr:rowOff>122767</xdr:rowOff>
    </xdr:from>
    <xdr:to>
      <xdr:col>22</xdr:col>
      <xdr:colOff>257907</xdr:colOff>
      <xdr:row>7</xdr:row>
      <xdr:rowOff>80434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F9FFD66-AC47-40D2-A839-485D74EEBD0C}"/>
            </a:ext>
          </a:extLst>
        </xdr:cNvPr>
        <xdr:cNvSpPr txBox="1"/>
      </xdr:nvSpPr>
      <xdr:spPr>
        <a:xfrm>
          <a:off x="12300847" y="1075267"/>
          <a:ext cx="1461393" cy="338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90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Monthly</a:t>
          </a:r>
          <a:r>
            <a:rPr lang="en-US" sz="900" baseline="0">
              <a:solidFill>
                <a:schemeClr val="tx2">
                  <a:lumMod val="10000"/>
                  <a:lumOff val="90000"/>
                </a:schemeClr>
              </a:solidFill>
              <a:latin typeface="Rockwell" panose="02060603020205020403" pitchFamily="18" charset="0"/>
              <a:ea typeface="+mn-ea"/>
              <a:cs typeface="+mn-cs"/>
            </a:rPr>
            <a:t> Revenue</a:t>
          </a:r>
          <a:endParaRPr lang="en-US" sz="900">
            <a:solidFill>
              <a:schemeClr val="tx2">
                <a:lumMod val="10000"/>
                <a:lumOff val="90000"/>
              </a:schemeClr>
            </a:solidFill>
            <a:latin typeface="Rockwell" panose="02060603020205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561976</xdr:colOff>
      <xdr:row>7</xdr:row>
      <xdr:rowOff>147108</xdr:rowOff>
    </xdr:from>
    <xdr:to>
      <xdr:col>22</xdr:col>
      <xdr:colOff>409576</xdr:colOff>
      <xdr:row>21</xdr:row>
      <xdr:rowOff>4233</xdr:rowOff>
    </xdr:to>
    <xdr:graphicFrame macro="">
      <xdr:nvGraphicFramePr>
        <xdr:cNvPr id="165" name="Chart 164">
          <a:extLst>
            <a:ext uri="{FF2B5EF4-FFF2-40B4-BE49-F238E27FC236}">
              <a16:creationId xmlns:a16="http://schemas.microsoft.com/office/drawing/2014/main" id="{1669FD86-2AAC-4E0E-A11D-4E74B12F6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571500</xdr:colOff>
      <xdr:row>33</xdr:row>
      <xdr:rowOff>180975</xdr:rowOff>
    </xdr:from>
    <xdr:to>
      <xdr:col>17</xdr:col>
      <xdr:colOff>523875</xdr:colOff>
      <xdr:row>43</xdr:row>
      <xdr:rowOff>104776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B61F960B-17F0-4529-A32D-41E44CE53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28575</xdr:colOff>
      <xdr:row>7</xdr:row>
      <xdr:rowOff>171451</xdr:rowOff>
    </xdr:from>
    <xdr:to>
      <xdr:col>26</xdr:col>
      <xdr:colOff>504824</xdr:colOff>
      <xdr:row>20</xdr:row>
      <xdr:rowOff>152401</xdr:rowOff>
    </xdr:to>
    <xdr:sp macro="" textlink="">
      <xdr:nvSpPr>
        <xdr:cNvPr id="167" name="Rectangle: Rounded Corners 166">
          <a:extLst>
            <a:ext uri="{FF2B5EF4-FFF2-40B4-BE49-F238E27FC236}">
              <a16:creationId xmlns:a16="http://schemas.microsoft.com/office/drawing/2014/main" id="{65381B31-CCC1-643E-24A8-DCCFC8EFDBB2}"/>
            </a:ext>
          </a:extLst>
        </xdr:cNvPr>
        <xdr:cNvSpPr/>
      </xdr:nvSpPr>
      <xdr:spPr>
        <a:xfrm>
          <a:off x="13439775" y="1504951"/>
          <a:ext cx="2914649" cy="2457450"/>
        </a:xfrm>
        <a:prstGeom prst="roundRect">
          <a:avLst/>
        </a:prstGeom>
        <a:gradFill flip="none" rotWithShape="1">
          <a:gsLst>
            <a:gs pos="38000">
              <a:srgbClr val="1C4F7F">
                <a:alpha val="95000"/>
              </a:srgbClr>
            </a:gs>
            <a:gs pos="15000">
              <a:schemeClr val="tx2">
                <a:lumMod val="75000"/>
                <a:lumOff val="25000"/>
                <a:alpha val="95000"/>
              </a:schemeClr>
            </a:gs>
            <a:gs pos="63000">
              <a:schemeClr val="tx2">
                <a:lumMod val="90000"/>
                <a:lumOff val="10000"/>
                <a:alpha val="95000"/>
              </a:schemeClr>
            </a:gs>
            <a:gs pos="84000">
              <a:schemeClr val="tx1">
                <a:alpha val="97000"/>
                <a:lumMod val="92000"/>
                <a:lumOff val="8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3</xdr:row>
      <xdr:rowOff>90487</xdr:rowOff>
    </xdr:from>
    <xdr:to>
      <xdr:col>10</xdr:col>
      <xdr:colOff>257175</xdr:colOff>
      <xdr:row>17</xdr:row>
      <xdr:rowOff>166687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FDF766E-B592-2BD6-6449-7A610947CE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661987"/>
              <a:ext cx="3733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245269</xdr:colOff>
      <xdr:row>21</xdr:row>
      <xdr:rowOff>102393</xdr:rowOff>
    </xdr:from>
    <xdr:to>
      <xdr:col>9</xdr:col>
      <xdr:colOff>597694</xdr:colOff>
      <xdr:row>35</xdr:row>
      <xdr:rowOff>178593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476BE7-43DB-3F5A-1C44-36640D740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571500</xdr:colOff>
      <xdr:row>23</xdr:row>
      <xdr:rowOff>4762</xdr:rowOff>
    </xdr:from>
    <xdr:to>
      <xdr:col>16</xdr:col>
      <xdr:colOff>342900</xdr:colOff>
      <xdr:row>37</xdr:row>
      <xdr:rowOff>80962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8FE4753-9CBE-B3E9-93EB-B1A52C255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719137</xdr:colOff>
      <xdr:row>3</xdr:row>
      <xdr:rowOff>90487</xdr:rowOff>
    </xdr:from>
    <xdr:to>
      <xdr:col>4</xdr:col>
      <xdr:colOff>1085850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F77B3-8E9E-7716-01EC-94EB136AA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3</xdr:row>
      <xdr:rowOff>90487</xdr:rowOff>
    </xdr:from>
    <xdr:to>
      <xdr:col>11</xdr:col>
      <xdr:colOff>190500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A8611C-409F-C20E-35DB-C5D45F626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790575</xdr:colOff>
      <xdr:row>3</xdr:row>
      <xdr:rowOff>90487</xdr:rowOff>
    </xdr:from>
    <xdr:to>
      <xdr:col>8</xdr:col>
      <xdr:colOff>219075</xdr:colOff>
      <xdr:row>17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EC95F3-6AA7-148A-AFB7-8A9134857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3</xdr:row>
      <xdr:rowOff>90487</xdr:rowOff>
    </xdr:from>
    <xdr:to>
      <xdr:col>8</xdr:col>
      <xdr:colOff>600075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E4EC9-FD3A-2AD6-5083-7B055F81C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95248</xdr:colOff>
      <xdr:row>3</xdr:row>
      <xdr:rowOff>90487</xdr:rowOff>
    </xdr:from>
    <xdr:to>
      <xdr:col>9</xdr:col>
      <xdr:colOff>390525</xdr:colOff>
      <xdr:row>15</xdr:row>
      <xdr:rowOff>53911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B92E9B-6496-6635-C4D3-C658C90FB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3</xdr:row>
      <xdr:rowOff>90487</xdr:rowOff>
    </xdr:from>
    <xdr:to>
      <xdr:col>10</xdr:col>
      <xdr:colOff>371475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FBBC5E-0F9F-CA34-245D-AF4C02C3C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393F3-AB94-4003-B0F3-86DD2368D4F4}" name="Table1" displayName="Table1" ref="A1:C5" totalsRowShown="0">
  <autoFilter ref="A1:C5" xr:uid="{F26393F3-AB94-4003-B0F3-86DD2368D4F4}"/>
  <tableColumns count="3">
    <tableColumn id="1" xr3:uid="{F5B7260D-E245-4EA1-AAFA-D9D9484EBC39}" name="Stage"/>
    <tableColumn id="3" xr3:uid="{788F07DB-5FAA-4895-9BF8-E8F2602929B1}" name="Job_Count"/>
    <tableColumn id="4" xr3:uid="{52B931BD-E38D-498C-8ED3-E4E56CBFC00B}" name="Pct_of_Discover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F4CBC1-29F0-4188-A673-B7AD1D4ED471}" name="Table12" displayName="Table12" ref="A1:L21" totalsRowShown="0">
  <autoFilter ref="A1:L21" xr:uid="{CFF4CBC1-29F0-4188-A673-B7AD1D4ED471}"/>
  <tableColumns count="12">
    <tableColumn id="1" xr3:uid="{63B54B0B-6315-4F50-B03C-6EFE4F789102}" name="Keyword_Search"/>
    <tableColumn id="2" xr3:uid="{5B027E59-B3BD-4FBD-A476-432D8F4FA76D}" name="Tool_Focus"/>
    <tableColumn id="3" xr3:uid="{2550672E-7C62-4359-B120-28C6E5CB88C9}" name="Priority_Score"/>
    <tableColumn id="4" xr3:uid="{9D3FC6FC-1F92-4044-9559-13FED5B3BB1F}" name="Status"/>
    <tableColumn id="5" xr3:uid="{ECACE07D-4797-400F-AE16-F878F77ED3F2}" name="Total_Scored"/>
    <tableColumn id="6" xr3:uid="{59F071F5-56E7-453B-8375-87D984252430}" name="APPLY_Count"/>
    <tableColumn id="7" xr3:uid="{35F47F06-9BC6-4406-B81E-7D44DAE8AAEC}" name="SKIP_Count"/>
    <tableColumn id="8" xr3:uid="{6A538CE7-F430-481E-B9A1-27F63F812B43}" name="HOLD_Count"/>
    <tableColumn id="9" xr3:uid="{7DC45BBB-0FE2-449B-BFAD-9DE50B9DACF8}" name="APPLY_Rate_Pct"/>
    <tableColumn id="10" xr3:uid="{7D930787-E7E2-4C1D-975D-435DEB350810}" name="Avg_Score"/>
    <tableColumn id="11" xr3:uid="{425DA2D4-8C34-43FF-BA41-58C25E64B236}" name="Avg_Competition"/>
    <tableColumn id="12" xr3:uid="{AD372CEA-FD8E-41D7-BE81-97ECF15EB2B2}" name="Connect_Efficienc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79E2EB-1AEE-4ED1-A2B2-81B52BDA0FBE}" name="Table3" displayName="Table3" ref="A1:E8" totalsRowShown="0">
  <autoFilter ref="A1:E8" xr:uid="{1379E2EB-1AEE-4ED1-A2B2-81B52BDA0FBE}"/>
  <tableColumns count="5">
    <tableColumn id="1" xr3:uid="{1A3A5480-944D-479E-BEF1-63B5E62F1EF9}" name="Tool_Detected"/>
    <tableColumn id="2" xr3:uid="{322BF075-E8C4-4B07-B092-9AED49C2B2B4}" name="Total_Jobs"/>
    <tableColumn id="3" xr3:uid="{AC4BBA51-85D0-4E43-B60B-3531BB8CFD2E}" name="Market_Share_Pct"/>
    <tableColumn id="4" xr3:uid="{FF6803FC-7E1C-4A2B-9D39-C201F635CE62}" name="Moved_to_Scoring"/>
    <tableColumn id="5" xr3:uid="{D57C81D1-02D5-4639-9EAF-9B43BB87DB0B}" name="Scoring_Rat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94E0A2-1B52-4CC3-B786-0A1234B36691}" name="Table4" displayName="Table4" ref="A1:E7" totalsRowShown="0">
  <autoFilter ref="A1:E7" xr:uid="{5094E0A2-1B52-4CC3-B786-0A1234B36691}"/>
  <tableColumns count="5">
    <tableColumn id="1" xr3:uid="{288FB1C5-E894-4D72-933A-8CD78247D024}" name="Score_Band"/>
    <tableColumn id="2" xr3:uid="{8BCF587C-EAA2-472A-B3D8-DF69E4251DF0}" name="Job_Count"/>
    <tableColumn id="3" xr3:uid="{9825916C-D7CF-4AA7-ABAC-83A1B51137AD}" name="Pct_of_Scored"/>
    <tableColumn id="4" xr3:uid="{9D657D49-7513-44B8-B819-0D7AA9CC8E25}" name="APPLY_Count"/>
    <tableColumn id="5" xr3:uid="{D25896CB-3E5F-4F2E-BDD8-09A9747DB51C}" name="SKIP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E69A89-72F1-4D2D-80A4-40392E1C89E6}" name="Table5" displayName="Table5" ref="A1:J11" totalsRowShown="0">
  <autoFilter ref="A1:J11" xr:uid="{56E69A89-72F1-4D2D-80A4-40392E1C89E6}"/>
  <tableColumns count="10">
    <tableColumn id="1" xr3:uid="{BCA6E735-6B5F-420A-95B7-4BA8D801EE51}" name="Session_ID"/>
    <tableColumn id="2" xr3:uid="{DF07FEA5-C030-4EE7-BDAA-B7D2A78C7BDE}" name="Date" dataDxfId="2"/>
    <tableColumn id="3" xr3:uid="{776B2BCC-AFBE-45F0-B757-CC5C1D1F508E}" name="Duration"/>
    <tableColumn id="4" xr3:uid="{3EF46AB1-9CFD-4E4E-8E4E-3A23BA1F76C1}" name="Jobs_Logged"/>
    <tableColumn id="5" xr3:uid="{D669835B-B2D6-4EA9-9E4C-B9468F613DB0}" name="Jobs_Moved_To_Scoring"/>
    <tableColumn id="6" xr3:uid="{12F7A481-E22C-444C-A9A1-3A8A4971E2A2}" name="Jobs_Review_Later"/>
    <tableColumn id="7" xr3:uid="{FDEE6D18-4119-4A6B-8476-F847E167FD8C}" name="Session_Yield"/>
    <tableColumn id="8" xr3:uid="{EEAFA135-608C-4BFE-B4B3-3DE507750026}" name="Saturation_Flag"/>
    <tableColumn id="9" xr3:uid="{E2E080C0-6ACC-471B-B4C0-1BA881532729}" name="Proposals_Sent"/>
    <tableColumn id="10" xr3:uid="{97B19A00-FF4F-4DF8-B92E-C1B3F44AA7C1}" name="Connects_Sp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7741C0-58CA-4939-A74F-AE3EB0021678}" name="Table612" displayName="Table612" ref="A9:D12" totalsRowShown="0">
  <autoFilter ref="A9:D12" xr:uid="{1B7741C0-58CA-4939-A74F-AE3EB0021678}"/>
  <tableColumns count="4">
    <tableColumn id="1" xr3:uid="{D25A7E6C-639A-446C-A4E8-91CAE6674C5E}" name="Template_Used"/>
    <tableColumn id="2" xr3:uid="{68CB0B45-72FC-4960-80CD-7D6E66B5F05C}" name="Hook_Version"/>
    <tableColumn id="3" xr3:uid="{A164936B-E5D2-4A52-83D2-DB5D624E97DC}" name="CTA_Version"/>
    <tableColumn id="8" xr3:uid="{808A4323-37DC-44D2-ABAE-0A55C32F5B64}" name="Reply_Rate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DB33B5-1749-47EE-9FB9-99A0972396F4}" name="Table6" displayName="Table6" ref="A1:K5" totalsRowShown="0">
  <autoFilter ref="A1:K5" xr:uid="{2BDB33B5-1749-47EE-9FB9-99A0972396F4}"/>
  <tableColumns count="11">
    <tableColumn id="1" xr3:uid="{64A61FB6-D1AA-4794-8FDE-6BD1213FDB84}" name="Template_Used"/>
    <tableColumn id="2" xr3:uid="{B696B171-08CA-4796-9E8B-5E418E0E9592}" name="Hook_Version"/>
    <tableColumn id="3" xr3:uid="{9DFC4197-C630-47A5-AC20-EFC6A45B2BE8}" name="CTA_Version"/>
    <tableColumn id="4" xr3:uid="{1676B113-0BE7-4D05-82AA-F7E8E943A51A}" name="Proposals_Sent"/>
    <tableColumn id="5" xr3:uid="{90343D38-212B-4118-B315-8635BBFB5626}" name="Avg_Connects"/>
    <tableColumn id="6" xr3:uid="{F75B2578-044C-488D-A065-922E521AEA37}" name="Replies"/>
    <tableColumn id="7" xr3:uid="{101B1FD2-3A07-47BF-8AB6-A84C80647D4B}" name="Interviews"/>
    <tableColumn id="8" xr3:uid="{59E1CFDA-E2DE-4D99-A35E-274E2D94F573}" name="Hires"/>
    <tableColumn id="9" xr3:uid="{51DB84AA-DCC5-4B88-B064-E143F33613CF}" name="Reply_Rate_Pct"/>
    <tableColumn id="10" xr3:uid="{41371827-8815-44AB-9424-F619712D2627}" name="Interview_Rate_Pct"/>
    <tableColumn id="11" xr3:uid="{0A4D7B27-AB97-4E7C-BE1E-09BAEDBDCA02}" name="Hire_Rate_Pc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E64758-6CFB-49A2-8040-A8EDFE77492D}" name="Table9" displayName="Table9" ref="A1:C5" totalsRowShown="0">
  <autoFilter ref="A1:C5" xr:uid="{2BE64758-6CFB-49A2-8040-A8EDFE77492D}"/>
  <tableColumns count="3">
    <tableColumn id="1" xr3:uid="{DB94A248-86D3-4FF9-ACE3-748825AC7598}" name="Complexity"/>
    <tableColumn id="2" xr3:uid="{58000561-74BC-4170-96D1-6BF830FA1376}" name="Job_Count"/>
    <tableColumn id="3" xr3:uid="{E65E62C9-2A72-48D6-8EA5-D31EFD2447BB}" name="Pct_of_Tot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C739-329A-4F0E-8047-937E7E84D9A2}">
  <dimension ref="K7"/>
  <sheetViews>
    <sheetView tabSelected="1" topLeftCell="G22" zoomScale="93" zoomScaleNormal="93" zoomScaleSheetLayoutView="50" zoomScalePageLayoutView="40" workbookViewId="0"/>
  </sheetViews>
  <sheetFormatPr defaultRowHeight="15" x14ac:dyDescent="0.25"/>
  <cols>
    <col min="1" max="16384" width="9.140625" style="3"/>
  </cols>
  <sheetData>
    <row r="7" spans="11:11" x14ac:dyDescent="0.25">
      <c r="K7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ACA8-8E6A-44D6-8B7D-40FDA12E3605}">
  <dimension ref="A1:C5"/>
  <sheetViews>
    <sheetView workbookViewId="0">
      <selection activeCell="C2" sqref="C2:C5"/>
    </sheetView>
  </sheetViews>
  <sheetFormatPr defaultRowHeight="15" x14ac:dyDescent="0.25"/>
  <cols>
    <col min="1" max="1" width="15.5703125" customWidth="1"/>
    <col min="2" max="2" width="12.5703125" customWidth="1"/>
    <col min="3" max="3" width="19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209</v>
      </c>
      <c r="C2" s="4">
        <v>100</v>
      </c>
    </row>
    <row r="3" spans="1:3" x14ac:dyDescent="0.25">
      <c r="A3" t="s">
        <v>4</v>
      </c>
      <c r="B3">
        <v>100</v>
      </c>
      <c r="C3" s="4">
        <v>47.8</v>
      </c>
    </row>
    <row r="4" spans="1:3" x14ac:dyDescent="0.25">
      <c r="A4" t="s">
        <v>5</v>
      </c>
      <c r="B4">
        <v>64</v>
      </c>
      <c r="C4" s="4">
        <v>30.6</v>
      </c>
    </row>
    <row r="5" spans="1:3" x14ac:dyDescent="0.25">
      <c r="A5" t="s">
        <v>6</v>
      </c>
      <c r="B5">
        <v>25</v>
      </c>
      <c r="C5" s="4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675E-0A07-4FDA-941F-14A82C47A712}">
  <dimension ref="A1:Y22"/>
  <sheetViews>
    <sheetView topLeftCell="B1" zoomScale="60" zoomScaleNormal="60" workbookViewId="0">
      <selection activeCell="Z36" sqref="Z36"/>
    </sheetView>
  </sheetViews>
  <sheetFormatPr defaultRowHeight="15" x14ac:dyDescent="0.25"/>
  <cols>
    <col min="1" max="1" width="17.85546875" customWidth="1"/>
    <col min="2" max="2" width="14.7109375" customWidth="1"/>
    <col min="3" max="3" width="15.7109375" customWidth="1"/>
    <col min="4" max="4" width="13.5703125" customWidth="1"/>
    <col min="5" max="5" width="14.85546875" customWidth="1"/>
    <col min="6" max="6" width="17.42578125" customWidth="1"/>
    <col min="7" max="7" width="13.5703125" customWidth="1"/>
    <col min="8" max="8" width="14.85546875" customWidth="1"/>
    <col min="9" max="9" width="17.42578125" customWidth="1"/>
    <col min="10" max="10" width="12.28515625" customWidth="1"/>
    <col min="11" max="11" width="18.5703125" customWidth="1"/>
    <col min="12" max="12" width="20.7109375" customWidth="1"/>
    <col min="17" max="17" width="17" customWidth="1"/>
    <col min="18" max="18" width="11.42578125" customWidth="1"/>
    <col min="22" max="22" width="12.28515625" customWidth="1"/>
    <col min="23" max="23" width="11.7109375" customWidth="1"/>
  </cols>
  <sheetData>
    <row r="1" spans="1:25" x14ac:dyDescent="0.25">
      <c r="A1" t="s">
        <v>7</v>
      </c>
      <c r="B1" t="s">
        <v>98</v>
      </c>
      <c r="C1" t="s">
        <v>100</v>
      </c>
      <c r="D1" t="s">
        <v>101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104</v>
      </c>
      <c r="L1" t="s">
        <v>99</v>
      </c>
    </row>
    <row r="2" spans="1:25" x14ac:dyDescent="0.25">
      <c r="A2" t="s">
        <v>24</v>
      </c>
      <c r="B2" t="s">
        <v>42</v>
      </c>
      <c r="C2">
        <v>0.55000000000000004</v>
      </c>
      <c r="D2" t="s">
        <v>102</v>
      </c>
      <c r="E2">
        <v>3</v>
      </c>
      <c r="F2">
        <v>2</v>
      </c>
      <c r="G2">
        <v>1</v>
      </c>
      <c r="H2">
        <v>0</v>
      </c>
      <c r="I2">
        <v>66.7</v>
      </c>
      <c r="J2">
        <v>0.8</v>
      </c>
      <c r="K2">
        <v>25</v>
      </c>
      <c r="L2" s="5">
        <v>5.6140350880000002E-2</v>
      </c>
      <c r="Q2" t="s">
        <v>162</v>
      </c>
      <c r="R2" t="s">
        <v>104</v>
      </c>
      <c r="S2" t="s">
        <v>13</v>
      </c>
      <c r="T2" t="s">
        <v>101</v>
      </c>
      <c r="V2" t="s">
        <v>163</v>
      </c>
      <c r="W2" t="s">
        <v>164</v>
      </c>
      <c r="X2" t="s">
        <v>165</v>
      </c>
      <c r="Y2" t="s">
        <v>166</v>
      </c>
    </row>
    <row r="3" spans="1:25" x14ac:dyDescent="0.25">
      <c r="A3" t="s">
        <v>17</v>
      </c>
      <c r="B3" t="s">
        <v>39</v>
      </c>
      <c r="C3">
        <v>0.53</v>
      </c>
      <c r="D3" t="s">
        <v>102</v>
      </c>
      <c r="E3">
        <v>1</v>
      </c>
      <c r="F3">
        <v>1</v>
      </c>
      <c r="G3">
        <v>0</v>
      </c>
      <c r="H3">
        <v>0</v>
      </c>
      <c r="I3">
        <v>100</v>
      </c>
      <c r="J3">
        <v>0.87</v>
      </c>
      <c r="K3">
        <v>15</v>
      </c>
      <c r="L3" s="5">
        <v>4.8945783130000003E-2</v>
      </c>
      <c r="Q3" t="str">
        <f t="shared" ref="Q3:Q22" si="0">A2</f>
        <v>Power BI Sales Dashboard</v>
      </c>
      <c r="R3">
        <f>K2</f>
        <v>25</v>
      </c>
      <c r="S3">
        <f>J2</f>
        <v>0.8</v>
      </c>
      <c r="T3" t="str">
        <f>D2</f>
        <v>Test More</v>
      </c>
      <c r="V3">
        <f>IF(T3="Test More",R3,NA())</f>
        <v>25</v>
      </c>
      <c r="W3">
        <f>IF(T3="Test More",S3,NA())</f>
        <v>0.8</v>
      </c>
      <c r="X3" t="e">
        <f>IF(T3="Drop",R3,NA())</f>
        <v>#N/A</v>
      </c>
      <c r="Y3" t="e">
        <f>IF(T3="Drop",S3,NA())</f>
        <v>#N/A</v>
      </c>
    </row>
    <row r="4" spans="1:25" x14ac:dyDescent="0.25">
      <c r="A4" t="s">
        <v>30</v>
      </c>
      <c r="B4" t="s">
        <v>39</v>
      </c>
      <c r="C4">
        <v>0.53</v>
      </c>
      <c r="D4" t="s">
        <v>102</v>
      </c>
      <c r="E4">
        <v>3</v>
      </c>
      <c r="F4">
        <v>1</v>
      </c>
      <c r="G4">
        <v>2</v>
      </c>
      <c r="H4">
        <v>0</v>
      </c>
      <c r="I4">
        <v>33.299999999999997</v>
      </c>
      <c r="J4">
        <v>0.79300000000000004</v>
      </c>
      <c r="K4">
        <v>13</v>
      </c>
      <c r="L4" s="5">
        <v>4.8945783130000003E-2</v>
      </c>
      <c r="N4" t="str">
        <f>INDEX(Keyword!A2:A21,MATCH(MAX(Keyword!C2:C21),Keyword!C2:C21,0))</f>
        <v>Power BI Sales Dashboard</v>
      </c>
      <c r="Q4" t="str">
        <f t="shared" si="0"/>
        <v>Looker Studio Marketing Dashboard</v>
      </c>
      <c r="R4">
        <f t="shared" ref="R4:R22" si="1">K3</f>
        <v>15</v>
      </c>
      <c r="S4">
        <f t="shared" ref="S4:S22" si="2">J3</f>
        <v>0.87</v>
      </c>
      <c r="T4" t="str">
        <f t="shared" ref="T4:T22" si="3">D3</f>
        <v>Test More</v>
      </c>
      <c r="V4">
        <f>IF(T4="Test More",R4,NA())</f>
        <v>15</v>
      </c>
      <c r="W4">
        <f>IF(T4="Test More",S4,NA())</f>
        <v>0.87</v>
      </c>
      <c r="X4" t="e">
        <f>IF(T4="Drop",R4,NA())</f>
        <v>#N/A</v>
      </c>
      <c r="Y4" t="e">
        <f>IF(T4="Drop",S4,NA())</f>
        <v>#N/A</v>
      </c>
    </row>
    <row r="5" spans="1:25" x14ac:dyDescent="0.25">
      <c r="A5" t="s">
        <v>19</v>
      </c>
      <c r="B5" t="s">
        <v>39</v>
      </c>
      <c r="C5">
        <v>0.53</v>
      </c>
      <c r="D5" t="s">
        <v>102</v>
      </c>
      <c r="E5">
        <v>9</v>
      </c>
      <c r="F5">
        <v>8</v>
      </c>
      <c r="G5">
        <v>1</v>
      </c>
      <c r="H5">
        <v>0</v>
      </c>
      <c r="I5">
        <v>88.9</v>
      </c>
      <c r="J5">
        <v>0.74</v>
      </c>
      <c r="K5">
        <v>13.9</v>
      </c>
      <c r="L5" s="5">
        <v>5.2282608699999997E-2</v>
      </c>
      <c r="N5">
        <f>AVERAGE(Keyword!J2:J21)</f>
        <v>0.7321000000000002</v>
      </c>
      <c r="Q5" t="str">
        <f t="shared" si="0"/>
        <v>looker studio marketing dashboard</v>
      </c>
      <c r="R5">
        <f t="shared" si="1"/>
        <v>13</v>
      </c>
      <c r="S5">
        <f t="shared" si="2"/>
        <v>0.79300000000000004</v>
      </c>
      <c r="T5" t="str">
        <f t="shared" si="3"/>
        <v>Test More</v>
      </c>
      <c r="V5">
        <f>IF(T5="Test More",R5,NA())</f>
        <v>13</v>
      </c>
      <c r="W5">
        <f>IF(T5="Test More",S5,NA())</f>
        <v>0.79300000000000004</v>
      </c>
      <c r="X5" t="e">
        <f>IF(T5="Drop",R5,NA())</f>
        <v>#N/A</v>
      </c>
      <c r="Y5" t="e">
        <f>IF(T5="Drop",S5,NA())</f>
        <v>#N/A</v>
      </c>
    </row>
    <row r="6" spans="1:25" x14ac:dyDescent="0.25">
      <c r="A6" t="s">
        <v>16</v>
      </c>
      <c r="B6" t="s">
        <v>40</v>
      </c>
      <c r="C6">
        <v>0.49</v>
      </c>
      <c r="D6" t="s">
        <v>102</v>
      </c>
      <c r="E6">
        <v>1</v>
      </c>
      <c r="F6">
        <v>1</v>
      </c>
      <c r="G6">
        <v>0</v>
      </c>
      <c r="H6">
        <v>0</v>
      </c>
      <c r="I6">
        <v>100</v>
      </c>
      <c r="J6">
        <v>0.81</v>
      </c>
      <c r="K6">
        <v>5</v>
      </c>
      <c r="L6" s="5">
        <v>7.0434782609999996E-2</v>
      </c>
      <c r="Q6" t="str">
        <f t="shared" si="0"/>
        <v>Looker Studio Marketing Dashboard Developer</v>
      </c>
      <c r="R6">
        <f t="shared" si="1"/>
        <v>13.9</v>
      </c>
      <c r="S6">
        <f t="shared" si="2"/>
        <v>0.74</v>
      </c>
      <c r="T6" t="str">
        <f t="shared" si="3"/>
        <v>Test More</v>
      </c>
      <c r="V6">
        <f>IF(T6="Test More",R6,NA())</f>
        <v>13.9</v>
      </c>
      <c r="W6">
        <f>IF(T6="Test More",S6,NA())</f>
        <v>0.74</v>
      </c>
      <c r="X6" t="e">
        <f>IF(T6="Drop",R6,NA())</f>
        <v>#N/A</v>
      </c>
      <c r="Y6" t="e">
        <f>IF(T6="Drop",S6,NA())</f>
        <v>#N/A</v>
      </c>
    </row>
    <row r="7" spans="1:25" x14ac:dyDescent="0.25">
      <c r="A7" t="s">
        <v>23</v>
      </c>
      <c r="B7" t="s">
        <v>42</v>
      </c>
      <c r="C7">
        <v>0.48</v>
      </c>
      <c r="D7" t="s">
        <v>102</v>
      </c>
      <c r="E7">
        <v>6</v>
      </c>
      <c r="F7">
        <v>4</v>
      </c>
      <c r="G7">
        <v>2</v>
      </c>
      <c r="H7">
        <v>0</v>
      </c>
      <c r="I7">
        <v>66.7</v>
      </c>
      <c r="J7">
        <v>0.71699999999999997</v>
      </c>
      <c r="K7">
        <v>35</v>
      </c>
      <c r="L7" s="5">
        <v>5.657894737E-2</v>
      </c>
      <c r="N7" t="str">
        <f>INDEX(Keyword!A2:A21,MATCH(MAX(Keyword!L2:L21),Keyword!L2:L21,0))</f>
        <v>Google Sheets Sales Dashboard</v>
      </c>
      <c r="Q7" t="str">
        <f t="shared" si="0"/>
        <v>Google Sheets Sales Dashboard</v>
      </c>
      <c r="R7">
        <f t="shared" si="1"/>
        <v>5</v>
      </c>
      <c r="S7">
        <f t="shared" si="2"/>
        <v>0.81</v>
      </c>
      <c r="T7" t="str">
        <f t="shared" si="3"/>
        <v>Test More</v>
      </c>
      <c r="V7">
        <f>IF(T7="Test More",R7,NA())</f>
        <v>5</v>
      </c>
      <c r="W7">
        <f>IF(T7="Test More",S7,NA())</f>
        <v>0.81</v>
      </c>
      <c r="X7" t="e">
        <f>IF(T7="Drop",R7,NA())</f>
        <v>#N/A</v>
      </c>
      <c r="Y7" t="e">
        <f>IF(T7="Drop",S7,NA())</f>
        <v>#N/A</v>
      </c>
    </row>
    <row r="8" spans="1:25" x14ac:dyDescent="0.25">
      <c r="A8" t="s">
        <v>22</v>
      </c>
      <c r="B8" t="s">
        <v>44</v>
      </c>
      <c r="C8">
        <v>0.47</v>
      </c>
      <c r="D8" t="s">
        <v>102</v>
      </c>
      <c r="E8">
        <v>10</v>
      </c>
      <c r="F8">
        <v>7</v>
      </c>
      <c r="G8">
        <v>2</v>
      </c>
      <c r="H8">
        <v>1</v>
      </c>
      <c r="I8">
        <v>70</v>
      </c>
      <c r="J8">
        <v>0.71099999999999997</v>
      </c>
      <c r="K8">
        <v>30</v>
      </c>
      <c r="L8" s="5">
        <v>5.3959821429999999E-2</v>
      </c>
      <c r="N8" s="5">
        <f>AVERAGE(Keyword!L2:L21)</f>
        <v>5.5747606170999997E-2</v>
      </c>
      <c r="Q8" t="str">
        <f t="shared" si="0"/>
        <v>Power BI Operations Dashboard</v>
      </c>
      <c r="R8">
        <f t="shared" si="1"/>
        <v>35</v>
      </c>
      <c r="S8">
        <f t="shared" si="2"/>
        <v>0.71699999999999997</v>
      </c>
      <c r="T8" t="str">
        <f t="shared" si="3"/>
        <v>Test More</v>
      </c>
      <c r="V8">
        <f>IF(T8="Test More",R8,NA())</f>
        <v>35</v>
      </c>
      <c r="W8">
        <f>IF(T8="Test More",S8,NA())</f>
        <v>0.71699999999999997</v>
      </c>
      <c r="X8" t="e">
        <f>IF(T8="Drop",R8,NA())</f>
        <v>#N/A</v>
      </c>
      <c r="Y8" t="e">
        <f>IF(T8="Drop",S8,NA())</f>
        <v>#N/A</v>
      </c>
    </row>
    <row r="9" spans="1:25" x14ac:dyDescent="0.25">
      <c r="A9" t="s">
        <v>21</v>
      </c>
      <c r="B9" t="s">
        <v>45</v>
      </c>
      <c r="C9">
        <v>0.47</v>
      </c>
      <c r="D9" t="s">
        <v>102</v>
      </c>
      <c r="E9">
        <v>5</v>
      </c>
      <c r="F9">
        <v>4</v>
      </c>
      <c r="G9">
        <v>0</v>
      </c>
      <c r="H9">
        <v>1</v>
      </c>
      <c r="I9">
        <v>80</v>
      </c>
      <c r="J9">
        <v>0.67600000000000005</v>
      </c>
      <c r="K9">
        <v>28</v>
      </c>
      <c r="L9" s="5">
        <v>6.4380952379999995E-2</v>
      </c>
      <c r="Q9" t="str">
        <f t="shared" si="0"/>
        <v>tableau dashboard</v>
      </c>
      <c r="R9">
        <f t="shared" si="1"/>
        <v>30</v>
      </c>
      <c r="S9">
        <f t="shared" si="2"/>
        <v>0.71099999999999997</v>
      </c>
      <c r="T9" t="str">
        <f t="shared" si="3"/>
        <v>Test More</v>
      </c>
      <c r="V9">
        <f>IF(T9="Test More",R9,NA())</f>
        <v>30</v>
      </c>
      <c r="W9">
        <f>IF(T9="Test More",S9,NA())</f>
        <v>0.71099999999999997</v>
      </c>
      <c r="X9" t="e">
        <f>IF(T9="Drop",R9,NA())</f>
        <v>#N/A</v>
      </c>
      <c r="Y9" t="e">
        <f>IF(T9="Drop",S9,NA())</f>
        <v>#N/A</v>
      </c>
    </row>
    <row r="10" spans="1:25" x14ac:dyDescent="0.25">
      <c r="A10" t="s">
        <v>15</v>
      </c>
      <c r="B10" t="s">
        <v>41</v>
      </c>
      <c r="C10">
        <v>0.45</v>
      </c>
      <c r="D10" t="s">
        <v>102</v>
      </c>
      <c r="E10">
        <v>1</v>
      </c>
      <c r="F10">
        <v>1</v>
      </c>
      <c r="G10">
        <v>0</v>
      </c>
      <c r="H10">
        <v>0</v>
      </c>
      <c r="I10">
        <v>100</v>
      </c>
      <c r="J10">
        <v>0.75</v>
      </c>
      <c r="K10">
        <v>15</v>
      </c>
      <c r="L10" s="5">
        <v>6.8181818180000006E-2</v>
      </c>
      <c r="Q10" t="str">
        <f t="shared" si="0"/>
        <v>SQL Inventory Reporting Dashboard</v>
      </c>
      <c r="R10">
        <f t="shared" si="1"/>
        <v>28</v>
      </c>
      <c r="S10">
        <f t="shared" si="2"/>
        <v>0.67600000000000005</v>
      </c>
      <c r="T10" t="str">
        <f t="shared" si="3"/>
        <v>Test More</v>
      </c>
      <c r="V10">
        <f>IF(T10="Test More",R10,NA())</f>
        <v>28</v>
      </c>
      <c r="W10">
        <f>IF(T10="Test More",S10,NA())</f>
        <v>0.67600000000000005</v>
      </c>
      <c r="X10" t="e">
        <f>IF(T10="Drop",R10,NA())</f>
        <v>#N/A</v>
      </c>
      <c r="Y10" t="e">
        <f>IF(T10="Drop",S10,NA())</f>
        <v>#N/A</v>
      </c>
    </row>
    <row r="11" spans="1:25" x14ac:dyDescent="0.25">
      <c r="A11" t="s">
        <v>20</v>
      </c>
      <c r="B11" t="s">
        <v>42</v>
      </c>
      <c r="C11">
        <v>0.44</v>
      </c>
      <c r="D11" t="s">
        <v>102</v>
      </c>
      <c r="E11">
        <v>7</v>
      </c>
      <c r="F11">
        <v>6</v>
      </c>
      <c r="G11">
        <v>1</v>
      </c>
      <c r="H11">
        <v>0</v>
      </c>
      <c r="I11">
        <v>85.7</v>
      </c>
      <c r="J11">
        <v>0.71899999999999997</v>
      </c>
      <c r="K11">
        <v>29.1</v>
      </c>
      <c r="L11" s="5">
        <v>4.9073170729999997E-2</v>
      </c>
      <c r="Q11" t="str">
        <f t="shared" si="0"/>
        <v>Excel HR Dashboard</v>
      </c>
      <c r="R11">
        <f t="shared" si="1"/>
        <v>15</v>
      </c>
      <c r="S11">
        <f t="shared" si="2"/>
        <v>0.75</v>
      </c>
      <c r="T11" t="str">
        <f t="shared" si="3"/>
        <v>Test More</v>
      </c>
      <c r="V11">
        <f>IF(T11="Test More",R11,NA())</f>
        <v>15</v>
      </c>
      <c r="W11">
        <f>IF(T11="Test More",S11,NA())</f>
        <v>0.75</v>
      </c>
      <c r="X11" t="e">
        <f>IF(T11="Drop",R11,NA())</f>
        <v>#N/A</v>
      </c>
      <c r="Y11" t="e">
        <f>IF(T11="Drop",S11,NA())</f>
        <v>#N/A</v>
      </c>
    </row>
    <row r="12" spans="1:25" x14ac:dyDescent="0.25">
      <c r="A12" t="s">
        <v>25</v>
      </c>
      <c r="B12" t="s">
        <v>41</v>
      </c>
      <c r="C12">
        <v>0.44</v>
      </c>
      <c r="D12" t="s">
        <v>102</v>
      </c>
      <c r="E12">
        <v>11</v>
      </c>
      <c r="F12">
        <v>6</v>
      </c>
      <c r="G12">
        <v>2</v>
      </c>
      <c r="H12">
        <v>3</v>
      </c>
      <c r="I12">
        <v>54.5</v>
      </c>
      <c r="J12">
        <v>0.68300000000000005</v>
      </c>
      <c r="K12">
        <v>34.5</v>
      </c>
      <c r="L12" s="5">
        <v>4.8159185209999997E-2</v>
      </c>
      <c r="Q12" t="str">
        <f t="shared" si="0"/>
        <v>power bi dashboard</v>
      </c>
      <c r="R12">
        <f t="shared" si="1"/>
        <v>29.1</v>
      </c>
      <c r="S12">
        <f t="shared" si="2"/>
        <v>0.71899999999999997</v>
      </c>
      <c r="T12" t="str">
        <f t="shared" si="3"/>
        <v>Test More</v>
      </c>
      <c r="V12">
        <f>IF(T12="Test More",R12,NA())</f>
        <v>29.1</v>
      </c>
      <c r="W12">
        <f>IF(T12="Test More",S12,NA())</f>
        <v>0.71899999999999997</v>
      </c>
      <c r="X12" t="e">
        <f>IF(T12="Drop",R12,NA())</f>
        <v>#N/A</v>
      </c>
      <c r="Y12" t="e">
        <f>IF(T12="Drop",S12,NA())</f>
        <v>#N/A</v>
      </c>
    </row>
    <row r="13" spans="1:25" x14ac:dyDescent="0.25">
      <c r="A13" t="s">
        <v>14</v>
      </c>
      <c r="B13" t="s">
        <v>40</v>
      </c>
      <c r="C13">
        <v>0.42</v>
      </c>
      <c r="D13" t="s">
        <v>102</v>
      </c>
      <c r="E13">
        <v>2</v>
      </c>
      <c r="F13">
        <v>2</v>
      </c>
      <c r="G13">
        <v>0</v>
      </c>
      <c r="H13">
        <v>0</v>
      </c>
      <c r="I13">
        <v>100</v>
      </c>
      <c r="J13">
        <v>0.73</v>
      </c>
      <c r="K13">
        <v>12.5</v>
      </c>
      <c r="L13" s="5">
        <v>6.9523809519999993E-2</v>
      </c>
      <c r="Q13" t="str">
        <f t="shared" si="0"/>
        <v>Excel Finance Dashboard Creation</v>
      </c>
      <c r="R13">
        <f t="shared" si="1"/>
        <v>34.5</v>
      </c>
      <c r="S13">
        <f t="shared" si="2"/>
        <v>0.68300000000000005</v>
      </c>
      <c r="T13" t="str">
        <f t="shared" si="3"/>
        <v>Test More</v>
      </c>
      <c r="V13">
        <f>IF(T13="Test More",R13,NA())</f>
        <v>34.5</v>
      </c>
      <c r="W13">
        <f>IF(T13="Test More",S13,NA())</f>
        <v>0.68300000000000005</v>
      </c>
      <c r="X13" t="e">
        <f>IF(T13="Drop",R13,NA())</f>
        <v>#N/A</v>
      </c>
      <c r="Y13" t="e">
        <f>IF(T13="Drop",S13,NA())</f>
        <v>#N/A</v>
      </c>
    </row>
    <row r="14" spans="1:25" x14ac:dyDescent="0.25">
      <c r="A14" t="s">
        <v>27</v>
      </c>
      <c r="B14" t="s">
        <v>40</v>
      </c>
      <c r="C14">
        <v>0.42</v>
      </c>
      <c r="D14" t="s">
        <v>102</v>
      </c>
      <c r="E14">
        <v>4</v>
      </c>
      <c r="F14">
        <v>2</v>
      </c>
      <c r="G14">
        <v>2</v>
      </c>
      <c r="H14">
        <v>0</v>
      </c>
      <c r="I14">
        <v>50</v>
      </c>
      <c r="J14">
        <v>0.69799999999999995</v>
      </c>
      <c r="K14">
        <v>33.799999999999997</v>
      </c>
      <c r="L14" s="5">
        <v>5.3653846149999997E-2</v>
      </c>
      <c r="Q14" t="str">
        <f t="shared" si="0"/>
        <v>Google Sheets Revenue Dashboard</v>
      </c>
      <c r="R14">
        <f t="shared" si="1"/>
        <v>12.5</v>
      </c>
      <c r="S14">
        <f t="shared" si="2"/>
        <v>0.73</v>
      </c>
      <c r="T14" t="str">
        <f t="shared" si="3"/>
        <v>Test More</v>
      </c>
      <c r="V14">
        <f>IF(T14="Test More",R14,NA())</f>
        <v>12.5</v>
      </c>
      <c r="W14">
        <f>IF(T14="Test More",S14,NA())</f>
        <v>0.73</v>
      </c>
      <c r="X14" t="e">
        <f>IF(T14="Drop",R14,NA())</f>
        <v>#N/A</v>
      </c>
      <c r="Y14" t="e">
        <f>IF(T14="Drop",S14,NA())</f>
        <v>#N/A</v>
      </c>
    </row>
    <row r="15" spans="1:25" x14ac:dyDescent="0.25">
      <c r="A15" t="s">
        <v>29</v>
      </c>
      <c r="B15" t="s">
        <v>40</v>
      </c>
      <c r="C15">
        <v>0.42</v>
      </c>
      <c r="D15" t="s">
        <v>102</v>
      </c>
      <c r="E15">
        <v>2</v>
      </c>
      <c r="F15">
        <v>1</v>
      </c>
      <c r="G15">
        <v>1</v>
      </c>
      <c r="H15">
        <v>0</v>
      </c>
      <c r="I15">
        <v>50</v>
      </c>
      <c r="J15">
        <v>0.68500000000000005</v>
      </c>
      <c r="K15">
        <v>15</v>
      </c>
      <c r="L15" s="5">
        <v>5.3725490200000003E-2</v>
      </c>
      <c r="Q15" t="str">
        <f t="shared" si="0"/>
        <v>Dashboard Customer Service KPI</v>
      </c>
      <c r="R15">
        <f t="shared" si="1"/>
        <v>33.799999999999997</v>
      </c>
      <c r="S15">
        <f t="shared" si="2"/>
        <v>0.69799999999999995</v>
      </c>
      <c r="T15" t="str">
        <f t="shared" si="3"/>
        <v>Test More</v>
      </c>
      <c r="V15">
        <f>IF(T15="Test More",R15,NA())</f>
        <v>33.799999999999997</v>
      </c>
      <c r="W15">
        <f>IF(T15="Test More",S15,NA())</f>
        <v>0.69799999999999995</v>
      </c>
      <c r="X15" t="e">
        <f>IF(T15="Drop",R15,NA())</f>
        <v>#N/A</v>
      </c>
      <c r="Y15" t="e">
        <f>IF(T15="Drop",S15,NA())</f>
        <v>#N/A</v>
      </c>
    </row>
    <row r="16" spans="1:25" x14ac:dyDescent="0.25">
      <c r="A16" t="s">
        <v>28</v>
      </c>
      <c r="B16" t="s">
        <v>40</v>
      </c>
      <c r="C16">
        <v>0.4</v>
      </c>
      <c r="D16" t="s">
        <v>102</v>
      </c>
      <c r="E16">
        <v>4</v>
      </c>
      <c r="F16">
        <v>2</v>
      </c>
      <c r="G16">
        <v>2</v>
      </c>
      <c r="H16">
        <v>0</v>
      </c>
      <c r="I16">
        <v>50</v>
      </c>
      <c r="J16">
        <v>0.72</v>
      </c>
      <c r="K16">
        <v>40</v>
      </c>
      <c r="L16" s="5">
        <v>4.7058823530000002E-2</v>
      </c>
      <c r="Q16" t="str">
        <f t="shared" si="0"/>
        <v>R Studio Marketing Dashboard</v>
      </c>
      <c r="R16">
        <f t="shared" si="1"/>
        <v>15</v>
      </c>
      <c r="S16">
        <f t="shared" si="2"/>
        <v>0.68500000000000005</v>
      </c>
      <c r="T16" t="str">
        <f t="shared" si="3"/>
        <v>Test More</v>
      </c>
      <c r="V16">
        <f>IF(T16="Test More",R16,NA())</f>
        <v>15</v>
      </c>
      <c r="W16">
        <f>IF(T16="Test More",S16,NA())</f>
        <v>0.68500000000000005</v>
      </c>
      <c r="X16" t="e">
        <f>IF(T16="Drop",R16,NA())</f>
        <v>#N/A</v>
      </c>
      <c r="Y16" t="e">
        <f>IF(T16="Drop",S16,NA())</f>
        <v>#N/A</v>
      </c>
    </row>
    <row r="17" spans="1:25" x14ac:dyDescent="0.25">
      <c r="A17" t="s">
        <v>26</v>
      </c>
      <c r="B17" t="s">
        <v>41</v>
      </c>
      <c r="C17">
        <v>0.38</v>
      </c>
      <c r="D17" t="s">
        <v>103</v>
      </c>
      <c r="E17">
        <v>6</v>
      </c>
      <c r="F17">
        <v>3</v>
      </c>
      <c r="G17">
        <v>0</v>
      </c>
      <c r="H17">
        <v>3</v>
      </c>
      <c r="I17">
        <v>50</v>
      </c>
      <c r="J17">
        <v>0.63800000000000001</v>
      </c>
      <c r="K17">
        <v>35.799999999999997</v>
      </c>
      <c r="L17" s="5">
        <v>5.3641456580000003E-2</v>
      </c>
      <c r="Q17" t="str">
        <f t="shared" si="0"/>
        <v>business dashboard</v>
      </c>
      <c r="R17">
        <f t="shared" si="1"/>
        <v>40</v>
      </c>
      <c r="S17">
        <f t="shared" si="2"/>
        <v>0.72</v>
      </c>
      <c r="T17" t="str">
        <f t="shared" si="3"/>
        <v>Test More</v>
      </c>
      <c r="V17">
        <f>IF(T17="Test More",R17,NA())</f>
        <v>40</v>
      </c>
      <c r="W17">
        <f>IF(T17="Test More",S17,NA())</f>
        <v>0.72</v>
      </c>
      <c r="X17" t="e">
        <f>IF(T17="Drop",R17,NA())</f>
        <v>#N/A</v>
      </c>
      <c r="Y17" t="e">
        <f>IF(T17="Drop",S17,NA())</f>
        <v>#N/A</v>
      </c>
    </row>
    <row r="18" spans="1:25" x14ac:dyDescent="0.25">
      <c r="A18" t="s">
        <v>31</v>
      </c>
      <c r="B18" t="s">
        <v>39</v>
      </c>
      <c r="C18">
        <v>0.37</v>
      </c>
      <c r="D18" t="s">
        <v>103</v>
      </c>
      <c r="E18">
        <v>8</v>
      </c>
      <c r="F18">
        <v>2</v>
      </c>
      <c r="G18">
        <v>6</v>
      </c>
      <c r="H18">
        <v>0</v>
      </c>
      <c r="I18">
        <v>25</v>
      </c>
      <c r="J18">
        <v>0.72199999999999998</v>
      </c>
      <c r="K18">
        <v>34.4</v>
      </c>
      <c r="L18" s="5">
        <v>4.5156250000000002E-2</v>
      </c>
      <c r="Q18" t="str">
        <f t="shared" si="0"/>
        <v>excel dashboard</v>
      </c>
      <c r="R18">
        <f t="shared" si="1"/>
        <v>35.799999999999997</v>
      </c>
      <c r="S18">
        <f t="shared" si="2"/>
        <v>0.63800000000000001</v>
      </c>
      <c r="T18" t="str">
        <f t="shared" si="3"/>
        <v>Drop</v>
      </c>
      <c r="V18" t="e">
        <f>IF(T18="Test More",R18,NA())</f>
        <v>#N/A</v>
      </c>
      <c r="W18" t="e">
        <f>IF(T18="Test More",S18,NA())</f>
        <v>#N/A</v>
      </c>
      <c r="X18">
        <f>IF(T18="Drop",R18,NA())</f>
        <v>35.799999999999997</v>
      </c>
      <c r="Y18">
        <f>IF(T18="Drop",S18,NA())</f>
        <v>0.63800000000000001</v>
      </c>
    </row>
    <row r="19" spans="1:25" x14ac:dyDescent="0.25">
      <c r="A19" t="s">
        <v>18</v>
      </c>
      <c r="B19" t="s">
        <v>40</v>
      </c>
      <c r="C19">
        <v>0.32</v>
      </c>
      <c r="D19" t="s">
        <v>103</v>
      </c>
      <c r="E19">
        <v>1</v>
      </c>
      <c r="F19">
        <v>1</v>
      </c>
      <c r="G19">
        <v>0</v>
      </c>
      <c r="H19">
        <v>0</v>
      </c>
      <c r="I19">
        <v>100</v>
      </c>
      <c r="J19">
        <v>0.67</v>
      </c>
      <c r="K19">
        <v>10</v>
      </c>
      <c r="L19" s="5">
        <v>5.3174603170000001E-2</v>
      </c>
      <c r="Q19" t="str">
        <f t="shared" si="0"/>
        <v>looker studio dashboard</v>
      </c>
      <c r="R19">
        <f t="shared" si="1"/>
        <v>34.4</v>
      </c>
      <c r="S19">
        <f t="shared" si="2"/>
        <v>0.72199999999999998</v>
      </c>
      <c r="T19" t="str">
        <f t="shared" si="3"/>
        <v>Drop</v>
      </c>
      <c r="V19" t="e">
        <f>IF(T19="Test More",R19,NA())</f>
        <v>#N/A</v>
      </c>
      <c r="W19" t="e">
        <f>IF(T19="Test More",S19,NA())</f>
        <v>#N/A</v>
      </c>
      <c r="X19">
        <f>IF(T19="Drop",R19,NA())</f>
        <v>34.4</v>
      </c>
      <c r="Y19">
        <f>IF(T19="Drop",S19,NA())</f>
        <v>0.72199999999999998</v>
      </c>
    </row>
    <row r="20" spans="1:25" x14ac:dyDescent="0.25">
      <c r="A20" t="s">
        <v>32</v>
      </c>
      <c r="B20" t="s">
        <v>40</v>
      </c>
      <c r="C20">
        <v>0.3</v>
      </c>
      <c r="D20" t="s">
        <v>103</v>
      </c>
      <c r="E20">
        <v>1</v>
      </c>
      <c r="F20">
        <v>0</v>
      </c>
      <c r="G20">
        <v>1</v>
      </c>
      <c r="H20">
        <v>0</v>
      </c>
      <c r="I20">
        <v>0</v>
      </c>
      <c r="J20">
        <v>0.8</v>
      </c>
      <c r="K20">
        <v>5</v>
      </c>
      <c r="L20" s="5">
        <v>5.8823529409999999E-2</v>
      </c>
      <c r="Q20" t="str">
        <f t="shared" si="0"/>
        <v>analytics dashboard</v>
      </c>
      <c r="R20">
        <f t="shared" si="1"/>
        <v>10</v>
      </c>
      <c r="S20">
        <f t="shared" si="2"/>
        <v>0.67</v>
      </c>
      <c r="T20" t="str">
        <f t="shared" si="3"/>
        <v>Drop</v>
      </c>
      <c r="V20" t="e">
        <f>IF(T20="Test More",R20,NA())</f>
        <v>#N/A</v>
      </c>
      <c r="W20" t="e">
        <f>IF(T20="Test More",S20,NA())</f>
        <v>#N/A</v>
      </c>
      <c r="X20">
        <f>IF(T20="Drop",R20,NA())</f>
        <v>10</v>
      </c>
      <c r="Y20">
        <f>IF(T20="Drop",S20,NA())</f>
        <v>0.67</v>
      </c>
    </row>
    <row r="21" spans="1:25" x14ac:dyDescent="0.25">
      <c r="A21" t="s">
        <v>33</v>
      </c>
      <c r="B21" t="s">
        <v>40</v>
      </c>
      <c r="C21">
        <v>0.28000000000000003</v>
      </c>
      <c r="D21" t="s">
        <v>103</v>
      </c>
      <c r="E21">
        <v>1</v>
      </c>
      <c r="F21">
        <v>0</v>
      </c>
      <c r="G21">
        <v>1</v>
      </c>
      <c r="H21">
        <v>0</v>
      </c>
      <c r="I21">
        <v>0</v>
      </c>
      <c r="J21">
        <v>0.71</v>
      </c>
      <c r="K21">
        <v>40</v>
      </c>
      <c r="L21" s="5">
        <v>6.3111111110000007E-2</v>
      </c>
      <c r="Q21" t="str">
        <f t="shared" si="0"/>
        <v>reporting dashboard</v>
      </c>
      <c r="R21">
        <f t="shared" si="1"/>
        <v>5</v>
      </c>
      <c r="S21">
        <f t="shared" si="2"/>
        <v>0.8</v>
      </c>
      <c r="T21" t="str">
        <f t="shared" si="3"/>
        <v>Drop</v>
      </c>
      <c r="V21" t="e">
        <f>IF(T21="Test More",R21,NA())</f>
        <v>#N/A</v>
      </c>
      <c r="W21" t="e">
        <f>IF(T21="Test More",S21,NA())</f>
        <v>#N/A</v>
      </c>
      <c r="X21">
        <f>IF(T21="Drop",R21,NA())</f>
        <v>5</v>
      </c>
      <c r="Y21">
        <f>IF(T21="Drop",S21,NA())</f>
        <v>0.8</v>
      </c>
    </row>
    <row r="22" spans="1:25" x14ac:dyDescent="0.25">
      <c r="Q22" t="str">
        <f t="shared" si="0"/>
        <v>Google Sheets HR Dashboard</v>
      </c>
      <c r="R22">
        <f t="shared" si="1"/>
        <v>40</v>
      </c>
      <c r="S22">
        <f t="shared" si="2"/>
        <v>0.71</v>
      </c>
      <c r="T22" t="str">
        <f t="shared" si="3"/>
        <v>Drop</v>
      </c>
      <c r="V22" t="e">
        <f>IF(T22="Test More",R22,NA())</f>
        <v>#N/A</v>
      </c>
      <c r="W22" t="e">
        <f>IF(T22="Test More",S22,NA())</f>
        <v>#N/A</v>
      </c>
      <c r="X22">
        <f>IF(T22="Drop",R22,NA())</f>
        <v>40</v>
      </c>
      <c r="Y22">
        <f>IF(T22="Drop",S22,NA())</f>
        <v>0.71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EB8B-2243-410F-8056-FF1666C36D8C}">
  <dimension ref="A1:E8"/>
  <sheetViews>
    <sheetView workbookViewId="0">
      <selection activeCell="I13" sqref="I13"/>
    </sheetView>
  </sheetViews>
  <sheetFormatPr defaultRowHeight="15" x14ac:dyDescent="0.25"/>
  <cols>
    <col min="1" max="1" width="16.28515625" customWidth="1"/>
    <col min="2" max="2" width="12.42578125" customWidth="1"/>
    <col min="3" max="3" width="19" customWidth="1"/>
    <col min="4" max="4" width="19.42578125" customWidth="1"/>
    <col min="5" max="5" width="18.5703125" customWidth="1"/>
  </cols>
  <sheetData>
    <row r="1" spans="1: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5">
      <c r="A2" t="s">
        <v>39</v>
      </c>
      <c r="B2">
        <v>43</v>
      </c>
      <c r="C2">
        <v>20.6</v>
      </c>
      <c r="D2">
        <v>35</v>
      </c>
      <c r="E2">
        <v>81.400000000000006</v>
      </c>
    </row>
    <row r="3" spans="1:5" x14ac:dyDescent="0.25">
      <c r="A3" t="s">
        <v>40</v>
      </c>
      <c r="B3">
        <v>41</v>
      </c>
      <c r="C3">
        <v>19.600000000000001</v>
      </c>
      <c r="D3">
        <v>0</v>
      </c>
      <c r="E3">
        <v>0</v>
      </c>
    </row>
    <row r="4" spans="1:5" x14ac:dyDescent="0.25">
      <c r="A4" t="s">
        <v>41</v>
      </c>
      <c r="B4">
        <v>39</v>
      </c>
      <c r="C4">
        <v>18.7</v>
      </c>
      <c r="D4">
        <v>30</v>
      </c>
      <c r="E4">
        <v>76.900000000000006</v>
      </c>
    </row>
    <row r="5" spans="1:5" x14ac:dyDescent="0.25">
      <c r="A5" t="s">
        <v>42</v>
      </c>
      <c r="B5">
        <v>39</v>
      </c>
      <c r="C5">
        <v>18.7</v>
      </c>
      <c r="D5">
        <v>29</v>
      </c>
      <c r="E5">
        <v>74.400000000000006</v>
      </c>
    </row>
    <row r="6" spans="1:5" x14ac:dyDescent="0.25">
      <c r="A6" t="s">
        <v>43</v>
      </c>
      <c r="B6">
        <v>32</v>
      </c>
      <c r="C6">
        <v>15.3</v>
      </c>
      <c r="D6">
        <v>0</v>
      </c>
      <c r="E6">
        <v>0</v>
      </c>
    </row>
    <row r="7" spans="1:5" x14ac:dyDescent="0.25">
      <c r="A7" t="s">
        <v>44</v>
      </c>
      <c r="B7">
        <v>9</v>
      </c>
      <c r="C7">
        <v>4.3</v>
      </c>
      <c r="D7">
        <v>6</v>
      </c>
      <c r="E7">
        <v>66.7</v>
      </c>
    </row>
    <row r="8" spans="1:5" x14ac:dyDescent="0.25">
      <c r="A8" t="s">
        <v>45</v>
      </c>
      <c r="B8">
        <v>6</v>
      </c>
      <c r="C8">
        <v>2.9</v>
      </c>
      <c r="D8">
        <v>0</v>
      </c>
      <c r="E8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23F1-9D8A-42BF-92D1-3FACDDA52672}">
  <dimension ref="A1:E7"/>
  <sheetViews>
    <sheetView topLeftCell="A4" workbookViewId="0">
      <selection activeCell="D16" sqref="D16"/>
    </sheetView>
  </sheetViews>
  <sheetFormatPr defaultRowHeight="15" x14ac:dyDescent="0.25"/>
  <cols>
    <col min="1" max="1" width="13.5703125" customWidth="1"/>
    <col min="2" max="2" width="12.5703125" customWidth="1"/>
    <col min="3" max="3" width="15.85546875" customWidth="1"/>
    <col min="4" max="4" width="15.140625" customWidth="1"/>
    <col min="5" max="5" width="13.5703125" customWidth="1"/>
  </cols>
  <sheetData>
    <row r="1" spans="1:5" x14ac:dyDescent="0.25">
      <c r="A1" t="s">
        <v>46</v>
      </c>
      <c r="B1" t="s">
        <v>1</v>
      </c>
      <c r="C1" t="s">
        <v>47</v>
      </c>
      <c r="D1" t="s">
        <v>9</v>
      </c>
      <c r="E1" t="s">
        <v>10</v>
      </c>
    </row>
    <row r="2" spans="1:5" x14ac:dyDescent="0.25">
      <c r="A2" t="s">
        <v>48</v>
      </c>
      <c r="B2">
        <v>13</v>
      </c>
      <c r="C2">
        <v>13</v>
      </c>
      <c r="D2">
        <v>5</v>
      </c>
      <c r="E2">
        <v>8</v>
      </c>
    </row>
    <row r="3" spans="1:5" x14ac:dyDescent="0.25">
      <c r="A3" t="s">
        <v>49</v>
      </c>
      <c r="B3">
        <v>16</v>
      </c>
      <c r="C3">
        <v>16</v>
      </c>
      <c r="D3">
        <v>12</v>
      </c>
      <c r="E3">
        <v>2</v>
      </c>
    </row>
    <row r="4" spans="1:5" x14ac:dyDescent="0.25">
      <c r="A4" t="s">
        <v>50</v>
      </c>
      <c r="B4">
        <v>27</v>
      </c>
      <c r="C4">
        <v>27</v>
      </c>
      <c r="D4">
        <v>14</v>
      </c>
      <c r="E4">
        <v>11</v>
      </c>
    </row>
    <row r="5" spans="1:5" x14ac:dyDescent="0.25">
      <c r="A5" t="s">
        <v>51</v>
      </c>
      <c r="B5">
        <v>33</v>
      </c>
      <c r="C5">
        <v>33</v>
      </c>
      <c r="D5">
        <v>24</v>
      </c>
      <c r="E5">
        <v>5</v>
      </c>
    </row>
    <row r="6" spans="1:5" x14ac:dyDescent="0.25">
      <c r="A6" t="s">
        <v>52</v>
      </c>
      <c r="B6">
        <v>11</v>
      </c>
      <c r="C6">
        <v>11</v>
      </c>
      <c r="D6">
        <v>9</v>
      </c>
      <c r="E6">
        <v>0</v>
      </c>
    </row>
    <row r="7" spans="1:5" x14ac:dyDescent="0.25">
      <c r="A7" t="s">
        <v>111</v>
      </c>
      <c r="D7">
        <v>0.71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87D5-1FA0-42F8-AD1E-9FF8BCBA5C42}">
  <dimension ref="A1:K11"/>
  <sheetViews>
    <sheetView topLeftCell="C1" workbookViewId="0">
      <selection activeCell="K4" sqref="K4"/>
    </sheetView>
  </sheetViews>
  <sheetFormatPr defaultRowHeight="15" x14ac:dyDescent="0.25"/>
  <cols>
    <col min="1" max="1" width="13.140625" customWidth="1"/>
    <col min="2" max="2" width="9.42578125" style="1" bestFit="1" customWidth="1"/>
    <col min="3" max="3" width="11" customWidth="1"/>
    <col min="4" max="4" width="14.42578125" customWidth="1"/>
    <col min="5" max="5" width="24.5703125" customWidth="1"/>
    <col min="6" max="6" width="20" customWidth="1"/>
    <col min="7" max="7" width="15.7109375" customWidth="1"/>
    <col min="8" max="8" width="16.85546875" customWidth="1"/>
    <col min="9" max="9" width="17" customWidth="1"/>
    <col min="10" max="10" width="18" customWidth="1"/>
  </cols>
  <sheetData>
    <row r="1" spans="1:11" x14ac:dyDescent="0.25">
      <c r="A1" t="s">
        <v>53</v>
      </c>
      <c r="B1" s="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</row>
    <row r="2" spans="1:11" x14ac:dyDescent="0.25">
      <c r="A2" t="s">
        <v>63</v>
      </c>
      <c r="B2" s="1">
        <v>46112</v>
      </c>
      <c r="C2" t="s">
        <v>64</v>
      </c>
      <c r="D2">
        <v>0</v>
      </c>
      <c r="E2">
        <v>8</v>
      </c>
      <c r="F2">
        <v>0</v>
      </c>
      <c r="G2">
        <v>0</v>
      </c>
      <c r="H2" t="s">
        <v>65</v>
      </c>
      <c r="I2">
        <v>0</v>
      </c>
      <c r="J2">
        <v>0</v>
      </c>
      <c r="K2">
        <f>COUNTA(A2:A100)</f>
        <v>10</v>
      </c>
    </row>
    <row r="3" spans="1:11" x14ac:dyDescent="0.25">
      <c r="A3" t="s">
        <v>66</v>
      </c>
      <c r="B3" s="1">
        <v>46113</v>
      </c>
      <c r="C3" t="s">
        <v>67</v>
      </c>
      <c r="D3">
        <v>8</v>
      </c>
      <c r="E3">
        <v>6</v>
      </c>
      <c r="F3">
        <v>2</v>
      </c>
      <c r="G3">
        <v>8</v>
      </c>
      <c r="H3" t="s">
        <v>68</v>
      </c>
      <c r="I3">
        <v>0</v>
      </c>
      <c r="J3">
        <v>0</v>
      </c>
      <c r="K3">
        <f>AVERAGE(G2:G11)</f>
        <v>7.2</v>
      </c>
    </row>
    <row r="4" spans="1:11" x14ac:dyDescent="0.25">
      <c r="A4" t="s">
        <v>69</v>
      </c>
      <c r="B4" s="1">
        <v>46115</v>
      </c>
      <c r="C4" t="s">
        <v>70</v>
      </c>
      <c r="D4">
        <v>8</v>
      </c>
      <c r="E4">
        <v>6</v>
      </c>
      <c r="F4">
        <v>2</v>
      </c>
      <c r="G4">
        <v>8</v>
      </c>
      <c r="H4" t="s">
        <v>68</v>
      </c>
      <c r="I4">
        <v>0</v>
      </c>
      <c r="J4">
        <v>0</v>
      </c>
      <c r="K4">
        <f>AVERAGE(I2:I11)</f>
        <v>0.5</v>
      </c>
    </row>
    <row r="5" spans="1:11" x14ac:dyDescent="0.25">
      <c r="A5" t="s">
        <v>71</v>
      </c>
      <c r="B5" s="1">
        <v>46116</v>
      </c>
      <c r="C5" t="s">
        <v>72</v>
      </c>
      <c r="D5">
        <v>8</v>
      </c>
      <c r="E5">
        <v>6</v>
      </c>
      <c r="F5">
        <v>2</v>
      </c>
      <c r="G5">
        <v>8</v>
      </c>
      <c r="H5" t="s">
        <v>68</v>
      </c>
      <c r="I5">
        <v>0</v>
      </c>
      <c r="J5">
        <v>0</v>
      </c>
      <c r="K5">
        <f>AVERAGE(J2:J11)</f>
        <v>8.1999999999999993</v>
      </c>
    </row>
    <row r="6" spans="1:11" x14ac:dyDescent="0.25">
      <c r="A6" t="s">
        <v>73</v>
      </c>
      <c r="B6" s="1">
        <v>46118</v>
      </c>
      <c r="C6" t="s">
        <v>74</v>
      </c>
      <c r="D6">
        <v>8</v>
      </c>
      <c r="E6">
        <v>5</v>
      </c>
      <c r="F6">
        <v>3</v>
      </c>
      <c r="G6">
        <v>8</v>
      </c>
      <c r="H6" t="s">
        <v>68</v>
      </c>
      <c r="I6">
        <v>0</v>
      </c>
      <c r="J6">
        <v>0</v>
      </c>
    </row>
    <row r="7" spans="1:11" x14ac:dyDescent="0.25">
      <c r="A7" t="s">
        <v>75</v>
      </c>
      <c r="B7" s="1">
        <v>46119</v>
      </c>
      <c r="C7" t="s">
        <v>76</v>
      </c>
      <c r="D7">
        <v>8</v>
      </c>
      <c r="E7">
        <v>4</v>
      </c>
      <c r="F7">
        <v>4</v>
      </c>
      <c r="G7">
        <v>8</v>
      </c>
      <c r="H7" t="s">
        <v>68</v>
      </c>
      <c r="I7">
        <v>0</v>
      </c>
      <c r="J7">
        <v>0</v>
      </c>
    </row>
    <row r="8" spans="1:11" x14ac:dyDescent="0.25">
      <c r="A8" t="s">
        <v>77</v>
      </c>
      <c r="B8" s="1">
        <v>46120</v>
      </c>
      <c r="C8" t="s">
        <v>78</v>
      </c>
      <c r="D8">
        <v>8</v>
      </c>
      <c r="E8">
        <v>7</v>
      </c>
      <c r="F8">
        <v>1</v>
      </c>
      <c r="G8">
        <v>8</v>
      </c>
      <c r="H8" t="s">
        <v>68</v>
      </c>
      <c r="I8">
        <v>1</v>
      </c>
      <c r="J8">
        <v>15</v>
      </c>
    </row>
    <row r="9" spans="1:11" x14ac:dyDescent="0.25">
      <c r="A9" t="s">
        <v>79</v>
      </c>
      <c r="B9" s="1">
        <v>46120</v>
      </c>
      <c r="C9" t="s">
        <v>80</v>
      </c>
      <c r="D9">
        <v>8</v>
      </c>
      <c r="E9">
        <v>3</v>
      </c>
      <c r="F9">
        <v>5</v>
      </c>
      <c r="G9">
        <v>8</v>
      </c>
      <c r="H9" t="s">
        <v>68</v>
      </c>
      <c r="I9">
        <v>1</v>
      </c>
      <c r="J9">
        <v>21</v>
      </c>
    </row>
    <row r="10" spans="1:11" x14ac:dyDescent="0.25">
      <c r="A10" t="s">
        <v>81</v>
      </c>
      <c r="B10" s="1">
        <v>46124</v>
      </c>
      <c r="C10" t="s">
        <v>82</v>
      </c>
      <c r="D10">
        <v>8</v>
      </c>
      <c r="E10">
        <v>5</v>
      </c>
      <c r="F10">
        <v>3</v>
      </c>
      <c r="G10">
        <v>8</v>
      </c>
      <c r="H10" t="s">
        <v>68</v>
      </c>
      <c r="I10">
        <v>1</v>
      </c>
      <c r="J10">
        <v>20</v>
      </c>
    </row>
    <row r="11" spans="1:11" x14ac:dyDescent="0.25">
      <c r="A11" t="s">
        <v>83</v>
      </c>
      <c r="B11" s="1">
        <v>46125</v>
      </c>
      <c r="C11" t="s">
        <v>84</v>
      </c>
      <c r="D11">
        <v>8</v>
      </c>
      <c r="E11">
        <v>7</v>
      </c>
      <c r="F11">
        <v>1</v>
      </c>
      <c r="G11">
        <v>8</v>
      </c>
      <c r="H11" t="s">
        <v>68</v>
      </c>
      <c r="I11">
        <v>2</v>
      </c>
      <c r="J11">
        <v>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6ACC-0F9B-489C-BBB3-972D3A9BB1B1}">
  <dimension ref="A1:M12"/>
  <sheetViews>
    <sheetView workbookViewId="0">
      <selection activeCell="M3" sqref="M3"/>
    </sheetView>
  </sheetViews>
  <sheetFormatPr defaultRowHeight="15" x14ac:dyDescent="0.25"/>
  <cols>
    <col min="1" max="1" width="17" customWidth="1"/>
    <col min="2" max="2" width="15.5703125" customWidth="1"/>
    <col min="3" max="3" width="14.42578125" customWidth="1"/>
    <col min="4" max="4" width="17" customWidth="1"/>
    <col min="5" max="5" width="15.85546875" customWidth="1"/>
    <col min="6" max="6" width="10" customWidth="1"/>
    <col min="7" max="7" width="12.5703125" customWidth="1"/>
    <col min="8" max="9" width="17" customWidth="1"/>
    <col min="10" max="10" width="20.28515625" customWidth="1"/>
    <col min="11" max="11" width="15.7109375" customWidth="1"/>
  </cols>
  <sheetData>
    <row r="1" spans="1:13" x14ac:dyDescent="0.25">
      <c r="A1" t="s">
        <v>85</v>
      </c>
      <c r="B1" t="s">
        <v>86</v>
      </c>
      <c r="C1" t="s">
        <v>87</v>
      </c>
      <c r="D1" t="s">
        <v>61</v>
      </c>
      <c r="E1" t="s">
        <v>88</v>
      </c>
      <c r="F1" t="s">
        <v>89</v>
      </c>
      <c r="G1" t="s">
        <v>90</v>
      </c>
      <c r="H1" t="s">
        <v>112</v>
      </c>
      <c r="I1" t="s">
        <v>91</v>
      </c>
      <c r="J1" t="s">
        <v>113</v>
      </c>
      <c r="K1" t="s">
        <v>114</v>
      </c>
    </row>
    <row r="2" spans="1:13" x14ac:dyDescent="0.25">
      <c r="A2" t="s">
        <v>115</v>
      </c>
      <c r="D2">
        <v>26</v>
      </c>
      <c r="E2">
        <v>11.3</v>
      </c>
      <c r="F2">
        <v>1</v>
      </c>
      <c r="G2">
        <v>1</v>
      </c>
      <c r="H2">
        <v>1</v>
      </c>
      <c r="I2">
        <v>3.8</v>
      </c>
      <c r="J2">
        <v>3.8</v>
      </c>
      <c r="K2">
        <v>3.8</v>
      </c>
      <c r="M2" t="str">
        <f>INDEX(Proposals!A3:A5,MATCH(MAX(Proposals!J3:J5),Proposals!J3:J5,0))</f>
        <v>T1</v>
      </c>
    </row>
    <row r="3" spans="1:13" x14ac:dyDescent="0.25">
      <c r="A3" t="s">
        <v>92</v>
      </c>
      <c r="B3" t="s">
        <v>93</v>
      </c>
      <c r="C3" t="s">
        <v>93</v>
      </c>
      <c r="D3">
        <v>12</v>
      </c>
      <c r="E3">
        <v>12.2</v>
      </c>
      <c r="F3">
        <v>1</v>
      </c>
      <c r="G3">
        <v>1</v>
      </c>
      <c r="H3">
        <v>1</v>
      </c>
      <c r="I3">
        <v>8.3000000000000007</v>
      </c>
      <c r="J3">
        <v>8.3000000000000007</v>
      </c>
      <c r="K3">
        <v>8.3000000000000007</v>
      </c>
    </row>
    <row r="4" spans="1:13" x14ac:dyDescent="0.25">
      <c r="A4" t="s">
        <v>94</v>
      </c>
      <c r="B4" t="s">
        <v>95</v>
      </c>
      <c r="C4" t="s">
        <v>93</v>
      </c>
      <c r="D4">
        <v>7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3" x14ac:dyDescent="0.25">
      <c r="A5" t="s">
        <v>96</v>
      </c>
      <c r="B5" t="s">
        <v>97</v>
      </c>
      <c r="C5" t="s">
        <v>95</v>
      </c>
      <c r="D5">
        <v>7</v>
      </c>
      <c r="E5">
        <v>11.1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9" spans="1:13" x14ac:dyDescent="0.25">
      <c r="A9" t="s">
        <v>85</v>
      </c>
      <c r="B9" t="s">
        <v>86</v>
      </c>
      <c r="C9" t="s">
        <v>87</v>
      </c>
      <c r="D9" t="s">
        <v>91</v>
      </c>
    </row>
    <row r="10" spans="1:13" x14ac:dyDescent="0.25">
      <c r="A10" t="s">
        <v>92</v>
      </c>
      <c r="B10" t="s">
        <v>93</v>
      </c>
      <c r="C10" t="s">
        <v>93</v>
      </c>
      <c r="D10">
        <v>8.3000000000000007</v>
      </c>
    </row>
    <row r="11" spans="1:13" x14ac:dyDescent="0.25">
      <c r="A11" s="3" t="s">
        <v>94</v>
      </c>
      <c r="B11" s="3" t="s">
        <v>95</v>
      </c>
      <c r="C11" s="3" t="s">
        <v>93</v>
      </c>
      <c r="D11" s="3">
        <v>0</v>
      </c>
    </row>
    <row r="12" spans="1:13" x14ac:dyDescent="0.25">
      <c r="A12" t="s">
        <v>96</v>
      </c>
      <c r="B12" t="s">
        <v>97</v>
      </c>
      <c r="C12" t="s">
        <v>95</v>
      </c>
      <c r="D12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C87E-3E22-442A-988D-9FE4B25F1F32}">
  <dimension ref="A1:E5"/>
  <sheetViews>
    <sheetView workbookViewId="0">
      <selection activeCell="E3" sqref="E3"/>
    </sheetView>
  </sheetViews>
  <sheetFormatPr defaultRowHeight="15" x14ac:dyDescent="0.25"/>
  <cols>
    <col min="1" max="1" width="13.5703125" customWidth="1"/>
    <col min="2" max="2" width="12.5703125" customWidth="1"/>
    <col min="3" max="3" width="14" customWidth="1"/>
  </cols>
  <sheetData>
    <row r="1" spans="1:5" x14ac:dyDescent="0.25">
      <c r="A1" t="s">
        <v>105</v>
      </c>
      <c r="B1" t="s">
        <v>1</v>
      </c>
      <c r="C1" t="s">
        <v>106</v>
      </c>
    </row>
    <row r="2" spans="1:5" x14ac:dyDescent="0.25">
      <c r="A2" t="s">
        <v>107</v>
      </c>
      <c r="B2">
        <v>93</v>
      </c>
      <c r="C2" s="4">
        <v>44.5</v>
      </c>
      <c r="E2" t="str">
        <f>INDEX(Complexity!A2:A5,MATCH(MAX(Complexity!C2:C5),Complexity!C2:C5,0))</f>
        <v>Large</v>
      </c>
    </row>
    <row r="3" spans="1:5" x14ac:dyDescent="0.25">
      <c r="A3" t="s">
        <v>108</v>
      </c>
      <c r="B3">
        <v>56</v>
      </c>
      <c r="C3" s="4">
        <v>26.8</v>
      </c>
      <c r="E3" s="4">
        <f>INDEX(Complexity!C2:C5,MATCH(MAX(Complexity!C2:C5),Complexity!C2:C5,0))</f>
        <v>44.5</v>
      </c>
    </row>
    <row r="4" spans="1:5" x14ac:dyDescent="0.25">
      <c r="A4" t="s">
        <v>109</v>
      </c>
      <c r="B4">
        <v>50</v>
      </c>
      <c r="C4" s="4">
        <v>23.9</v>
      </c>
    </row>
    <row r="5" spans="1:5" x14ac:dyDescent="0.25">
      <c r="A5" t="s">
        <v>110</v>
      </c>
      <c r="B5">
        <v>10</v>
      </c>
      <c r="C5" s="4">
        <v>4.8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C5DF-1D39-4081-AEF3-13ABAEB5FCA2}">
  <dimension ref="A1:E42"/>
  <sheetViews>
    <sheetView workbookViewId="0">
      <selection activeCell="L2" sqref="L2"/>
    </sheetView>
  </sheetViews>
  <sheetFormatPr defaultRowHeight="15" x14ac:dyDescent="0.25"/>
  <cols>
    <col min="1" max="1" width="40.5703125" customWidth="1"/>
  </cols>
  <sheetData>
    <row r="1" spans="1:5" x14ac:dyDescent="0.25">
      <c r="A1" t="s">
        <v>116</v>
      </c>
      <c r="B1" t="s">
        <v>117</v>
      </c>
    </row>
    <row r="2" spans="1:5" x14ac:dyDescent="0.25">
      <c r="A2" t="s">
        <v>118</v>
      </c>
      <c r="B2" s="6">
        <v>0.15</v>
      </c>
      <c r="D2" t="s">
        <v>160</v>
      </c>
      <c r="E2">
        <f>B36</f>
        <v>293</v>
      </c>
    </row>
    <row r="3" spans="1:5" x14ac:dyDescent="0.25">
      <c r="A3" t="s">
        <v>119</v>
      </c>
      <c r="B3">
        <v>283</v>
      </c>
      <c r="D3" t="s">
        <v>161</v>
      </c>
      <c r="E3">
        <f>B7</f>
        <v>300</v>
      </c>
    </row>
    <row r="4" spans="1:5" x14ac:dyDescent="0.25">
      <c r="A4" t="s">
        <v>120</v>
      </c>
      <c r="B4">
        <v>283</v>
      </c>
    </row>
    <row r="5" spans="1:5" x14ac:dyDescent="0.25">
      <c r="A5" t="s">
        <v>121</v>
      </c>
      <c r="B5" s="1">
        <v>46116</v>
      </c>
    </row>
    <row r="6" spans="1:5" x14ac:dyDescent="0.25">
      <c r="A6" t="s">
        <v>122</v>
      </c>
      <c r="B6">
        <v>0</v>
      </c>
    </row>
    <row r="7" spans="1:5" x14ac:dyDescent="0.25">
      <c r="A7" t="s">
        <v>123</v>
      </c>
      <c r="B7">
        <v>300</v>
      </c>
    </row>
    <row r="8" spans="1:5" x14ac:dyDescent="0.25">
      <c r="A8" t="s">
        <v>124</v>
      </c>
      <c r="B8">
        <v>293</v>
      </c>
    </row>
    <row r="9" spans="1:5" x14ac:dyDescent="0.25">
      <c r="A9" t="s">
        <v>125</v>
      </c>
      <c r="B9">
        <v>212</v>
      </c>
    </row>
    <row r="10" spans="1:5" x14ac:dyDescent="0.25">
      <c r="A10" t="s">
        <v>126</v>
      </c>
      <c r="B10" s="6">
        <v>31.8</v>
      </c>
    </row>
    <row r="11" spans="1:5" x14ac:dyDescent="0.25">
      <c r="A11" t="s">
        <v>127</v>
      </c>
      <c r="B11">
        <v>10</v>
      </c>
    </row>
    <row r="12" spans="1:5" x14ac:dyDescent="0.25">
      <c r="A12" t="s">
        <v>128</v>
      </c>
      <c r="B12">
        <v>50</v>
      </c>
    </row>
    <row r="13" spans="1:5" x14ac:dyDescent="0.25">
      <c r="A13" t="s">
        <v>129</v>
      </c>
      <c r="B13">
        <v>26</v>
      </c>
    </row>
    <row r="14" spans="1:5" x14ac:dyDescent="0.25">
      <c r="A14" t="s">
        <v>130</v>
      </c>
      <c r="B14">
        <v>295</v>
      </c>
    </row>
    <row r="15" spans="1:5" x14ac:dyDescent="0.25">
      <c r="A15" t="s">
        <v>131</v>
      </c>
      <c r="B15" s="6">
        <v>44.25</v>
      </c>
    </row>
    <row r="16" spans="1:5" x14ac:dyDescent="0.25">
      <c r="A16" t="s">
        <v>132</v>
      </c>
      <c r="B16">
        <v>-12</v>
      </c>
    </row>
    <row r="17" spans="1:2" x14ac:dyDescent="0.25">
      <c r="A17" t="s">
        <v>133</v>
      </c>
      <c r="B17" s="6">
        <v>44.25</v>
      </c>
    </row>
    <row r="18" spans="1:2" x14ac:dyDescent="0.25">
      <c r="A18" t="s">
        <v>134</v>
      </c>
      <c r="B18" s="6">
        <v>44.25</v>
      </c>
    </row>
    <row r="19" spans="1:2" x14ac:dyDescent="0.25">
      <c r="A19" t="s">
        <v>135</v>
      </c>
      <c r="B19" s="6">
        <v>44.25</v>
      </c>
    </row>
    <row r="20" spans="1:2" x14ac:dyDescent="0.25">
      <c r="A20" t="s">
        <v>136</v>
      </c>
      <c r="B20" s="6">
        <v>150</v>
      </c>
    </row>
    <row r="21" spans="1:2" x14ac:dyDescent="0.25">
      <c r="A21" t="s">
        <v>137</v>
      </c>
      <c r="B21" s="6">
        <v>22.13</v>
      </c>
    </row>
    <row r="22" spans="1:2" x14ac:dyDescent="0.25">
      <c r="A22" t="s">
        <v>138</v>
      </c>
      <c r="B22" s="7">
        <v>5.78</v>
      </c>
    </row>
    <row r="23" spans="1:2" x14ac:dyDescent="0.25">
      <c r="A23" t="s">
        <v>139</v>
      </c>
      <c r="B23" s="1">
        <v>46132</v>
      </c>
    </row>
    <row r="24" spans="1:2" x14ac:dyDescent="0.25">
      <c r="A24" t="s">
        <v>140</v>
      </c>
      <c r="B24" s="1">
        <v>46113</v>
      </c>
    </row>
    <row r="25" spans="1:2" x14ac:dyDescent="0.25">
      <c r="A25" t="s">
        <v>141</v>
      </c>
      <c r="B25">
        <v>20</v>
      </c>
    </row>
    <row r="26" spans="1:2" x14ac:dyDescent="0.25">
      <c r="A26" t="s">
        <v>142</v>
      </c>
      <c r="B26">
        <v>30</v>
      </c>
    </row>
    <row r="27" spans="1:2" x14ac:dyDescent="0.25">
      <c r="A27" t="s">
        <v>143</v>
      </c>
      <c r="B27">
        <v>10</v>
      </c>
    </row>
    <row r="28" spans="1:2" x14ac:dyDescent="0.25">
      <c r="A28" t="s">
        <v>144</v>
      </c>
      <c r="B28">
        <v>11</v>
      </c>
    </row>
    <row r="29" spans="1:2" x14ac:dyDescent="0.25">
      <c r="A29" t="s">
        <v>145</v>
      </c>
      <c r="B29">
        <v>92</v>
      </c>
    </row>
    <row r="30" spans="1:2" x14ac:dyDescent="0.25">
      <c r="A30" t="s">
        <v>146</v>
      </c>
      <c r="B30">
        <v>6</v>
      </c>
    </row>
    <row r="31" spans="1:2" x14ac:dyDescent="0.25">
      <c r="A31" t="s">
        <v>147</v>
      </c>
      <c r="B31">
        <v>195</v>
      </c>
    </row>
    <row r="32" spans="1:2" x14ac:dyDescent="0.25">
      <c r="A32" t="s">
        <v>148</v>
      </c>
      <c r="B32">
        <v>1</v>
      </c>
    </row>
    <row r="33" spans="1:2" x14ac:dyDescent="0.25">
      <c r="A33" t="s">
        <v>149</v>
      </c>
      <c r="B33">
        <v>1</v>
      </c>
    </row>
    <row r="34" spans="1:2" x14ac:dyDescent="0.25">
      <c r="A34" t="s">
        <v>150</v>
      </c>
      <c r="B34">
        <v>1</v>
      </c>
    </row>
    <row r="35" spans="1:2" x14ac:dyDescent="0.25">
      <c r="A35" t="s">
        <v>151</v>
      </c>
      <c r="B35" s="6">
        <v>150</v>
      </c>
    </row>
    <row r="36" spans="1:2" x14ac:dyDescent="0.25">
      <c r="A36" t="s">
        <v>152</v>
      </c>
      <c r="B36">
        <v>293</v>
      </c>
    </row>
    <row r="37" spans="1:2" x14ac:dyDescent="0.25">
      <c r="A37" t="s">
        <v>153</v>
      </c>
      <c r="B37" s="6">
        <v>43.95</v>
      </c>
    </row>
    <row r="38" spans="1:2" x14ac:dyDescent="0.25">
      <c r="A38" t="s">
        <v>154</v>
      </c>
      <c r="B38" t="s">
        <v>155</v>
      </c>
    </row>
    <row r="39" spans="1:2" x14ac:dyDescent="0.25">
      <c r="A39" t="s">
        <v>156</v>
      </c>
      <c r="B39" s="6">
        <v>127.88</v>
      </c>
    </row>
    <row r="40" spans="1:2" x14ac:dyDescent="0.25">
      <c r="A40" t="s">
        <v>157</v>
      </c>
      <c r="B40" s="6">
        <v>5.77</v>
      </c>
    </row>
    <row r="41" spans="1:2" x14ac:dyDescent="0.25">
      <c r="A41" t="s">
        <v>158</v>
      </c>
      <c r="B41" s="6">
        <v>0.51</v>
      </c>
    </row>
    <row r="42" spans="1:2" x14ac:dyDescent="0.25">
      <c r="A42" t="s">
        <v>159</v>
      </c>
      <c r="B42" s="6">
        <v>0.36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Funnel</vt:lpstr>
      <vt:lpstr>Keyword</vt:lpstr>
      <vt:lpstr>Tools</vt:lpstr>
      <vt:lpstr>Scores</vt:lpstr>
      <vt:lpstr>Sessions</vt:lpstr>
      <vt:lpstr>Proposals</vt:lpstr>
      <vt:lpstr>Complexity</vt:lpstr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Sawandi Kirby</dc:creator>
  <cp:lastModifiedBy>Sawandi Kirby</cp:lastModifiedBy>
  <dcterms:created xsi:type="dcterms:W3CDTF">2026-04-14T20:59:49Z</dcterms:created>
  <dcterms:modified xsi:type="dcterms:W3CDTF">2026-04-21T16:51:00Z</dcterms:modified>
</cp:coreProperties>
</file>